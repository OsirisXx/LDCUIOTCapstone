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BO" sheetId="2" r:id="rId5"/>
    <sheet state="visible" name="AParty" sheetId="3" r:id="rId6"/>
    <sheet state="visible" name="Tshirt" sheetId="4" r:id="rId7"/>
    <sheet state="visible" name="Intrams" sheetId="5" r:id="rId8"/>
    <sheet state="visible" name="Fines" sheetId="6" r:id="rId9"/>
  </sheets>
  <definedNames/>
  <calcPr/>
</workbook>
</file>

<file path=xl/sharedStrings.xml><?xml version="1.0" encoding="utf-8"?>
<sst xmlns="http://schemas.openxmlformats.org/spreadsheetml/2006/main" count="2887" uniqueCount="317">
  <si>
    <t>COLLECTION SUMMARY</t>
  </si>
  <si>
    <t>Activity</t>
  </si>
  <si>
    <t>Amount Collectable</t>
  </si>
  <si>
    <t>Amount Collected</t>
  </si>
  <si>
    <t>Collectable</t>
  </si>
  <si>
    <t xml:space="preserve">SBO : 400 </t>
  </si>
  <si>
    <t>AParty</t>
  </si>
  <si>
    <t>TShirt</t>
  </si>
  <si>
    <t>Intrams</t>
  </si>
  <si>
    <t>Total</t>
  </si>
  <si>
    <t>Total No. of Students : 279</t>
  </si>
  <si>
    <t>Amount</t>
  </si>
  <si>
    <t>Attendance</t>
  </si>
  <si>
    <t>SBO FEE COLLECTION (279 X 400 = 111,600)</t>
  </si>
  <si>
    <t>Collection Amount</t>
  </si>
  <si>
    <t xml:space="preserve">Account Collectable : </t>
  </si>
  <si>
    <t>SL #</t>
  </si>
  <si>
    <t>STUDENT NAME</t>
  </si>
  <si>
    <t>COURSE/Major</t>
  </si>
  <si>
    <t>YEAR</t>
  </si>
  <si>
    <t>Date Paid</t>
  </si>
  <si>
    <t>Payment Type</t>
  </si>
  <si>
    <t>OR#</t>
  </si>
  <si>
    <t>SACAL, GERELYN KAWE T.</t>
  </si>
  <si>
    <t>BLIS</t>
  </si>
  <si>
    <t>VILELA, SAMANTHA KRIS P.</t>
  </si>
  <si>
    <t>MORENO, NICOLE ROANNIE D.</t>
  </si>
  <si>
    <t>YAMSON, HOPE GRACE I.</t>
  </si>
  <si>
    <t>TEJANO, ERIKA MAE A.</t>
  </si>
  <si>
    <t>DE-ERIT, ROSE MAE J.</t>
  </si>
  <si>
    <t>ADAJAR, RHEA JEAN M.</t>
  </si>
  <si>
    <t>BLIS-ACADEMIC TRACK</t>
  </si>
  <si>
    <t>OMANDAM, ANDRE JOSHUA P.</t>
  </si>
  <si>
    <t>BSIT-CISCO</t>
  </si>
  <si>
    <t>MAGBOO, RALPH JOSHUA P.</t>
  </si>
  <si>
    <t>NAVARRO, MIKKO S.</t>
  </si>
  <si>
    <t>CANDIA, SOPHIA CHRISTIANA A.</t>
  </si>
  <si>
    <t>LALA, LANCE NICHOLAS</t>
  </si>
  <si>
    <t>LLAMIS, ARL JOSHUA T.</t>
  </si>
  <si>
    <t>RETERACION, LJYM P.</t>
  </si>
  <si>
    <t>OYANGOREN, AARON NATHANIEL L.</t>
  </si>
  <si>
    <t>Acero, James B.</t>
  </si>
  <si>
    <t>Nabos, Mariane T.</t>
  </si>
  <si>
    <t>CASH</t>
  </si>
  <si>
    <t>MALAYA, JHOZEL M.</t>
  </si>
  <si>
    <t>CAGALITAN, ALLYXZA SOPHIA K.</t>
  </si>
  <si>
    <t>UBA, KEN MARK C.</t>
  </si>
  <si>
    <t>BALATAYO, FREDERICK JAMES S.</t>
  </si>
  <si>
    <t>VALDEZ, PRINCESS MARIE J.</t>
  </si>
  <si>
    <t>MAGUIDALA, CARIM S.</t>
  </si>
  <si>
    <t>AGUE, GIAN ANGELO M.</t>
  </si>
  <si>
    <t>GALLARDO, JAMIE E.</t>
  </si>
  <si>
    <t>PELEGRIN, KEITH BALDWIN I.</t>
  </si>
  <si>
    <t>OCTAVIANO, GEO A.</t>
  </si>
  <si>
    <t>KHU, FRANIJE S.</t>
  </si>
  <si>
    <t>CAGULADA, MARC LORDY B.</t>
  </si>
  <si>
    <t>DIEZ, PRINCESS DOVE P.</t>
  </si>
  <si>
    <t>LLANETA, CESABEL A.</t>
  </si>
  <si>
    <t>ENGADA, JOHN FRANCIS S.</t>
  </si>
  <si>
    <t>BRAZIL, RALPH D.</t>
  </si>
  <si>
    <t>SALVAÑA, LAWRENCE VINCENT II B.</t>
  </si>
  <si>
    <t>ALAGON, JEYAN N.</t>
  </si>
  <si>
    <t>DELA PEÑA, EMANUEL JOHN S.</t>
  </si>
  <si>
    <t>NAMALATA, JOHN WARREN P.</t>
  </si>
  <si>
    <t>DEE, JAZEL MAY P.</t>
  </si>
  <si>
    <t>PACQUIAO, CHAZY CHAZ T.</t>
  </si>
  <si>
    <t>BACALAN, JONATHAN JR. G.</t>
  </si>
  <si>
    <t>ARNOCO, JOHN CARL</t>
  </si>
  <si>
    <t>ABAS, GAIL ISABELLE A.</t>
  </si>
  <si>
    <t>POMICPIC, GERALD VYNN B.</t>
  </si>
  <si>
    <t>BALA, JAMES CARL S.</t>
  </si>
  <si>
    <t>LETRAGO, MILLARD VAN NIXON</t>
  </si>
  <si>
    <t>LANZAR, COBY S.</t>
  </si>
  <si>
    <t>EBAL, EARL RUSHIEN Z.</t>
  </si>
  <si>
    <t>DE LA ROSA, KRISTIAN EMMANUEL</t>
  </si>
  <si>
    <t>GAGARRA, JAN MICHAEL VINCENT T.</t>
  </si>
  <si>
    <t>TACBOBO III, ARTHUR P.</t>
  </si>
  <si>
    <t>DAGUMAN JR., ANGELITO G.</t>
  </si>
  <si>
    <t>FABRICANTE, KIANNAH P.</t>
  </si>
  <si>
    <t>COLINARES, ANGEL LOISE D.</t>
  </si>
  <si>
    <t>DISOMIMBA, ALGAINE P.</t>
  </si>
  <si>
    <t>LONOY, JEROME MARTIN Y.</t>
  </si>
  <si>
    <t>FALLER, VON XEDRIC D.</t>
  </si>
  <si>
    <t>GUERRERO, HEAVIN G.</t>
  </si>
  <si>
    <t>RAVINA, RHENIEL XANDER B.</t>
  </si>
  <si>
    <t>JAYME, CHRISTIAN REEVE T.</t>
  </si>
  <si>
    <t>GARAY, JOHN ROLAND H.</t>
  </si>
  <si>
    <t>GUMERA, JOSHUA ALBERT S.</t>
  </si>
  <si>
    <t>BULAWIN, CAVHEN JOSHUA C.</t>
  </si>
  <si>
    <t>BADA, KENNETH TROY C.</t>
  </si>
  <si>
    <t>NAVARRO, KEITH RUSSELLE N.</t>
  </si>
  <si>
    <t>ACANTILADO, DENNIS C.</t>
  </si>
  <si>
    <t>COCAMAS, ADONIS JR. O.</t>
  </si>
  <si>
    <t>REDOSENDO, RALPH ETHAN M.</t>
  </si>
  <si>
    <t>CABALIDA, JOHN ALFERD O.</t>
  </si>
  <si>
    <t>SUELA, KYLE DANIEL D.</t>
  </si>
  <si>
    <t>ZAMBAS, MARY FAITH U.</t>
  </si>
  <si>
    <t>YECYEC, HELLEIBREY D.C.</t>
  </si>
  <si>
    <t>ISMA, EARL JOHN S.</t>
  </si>
  <si>
    <t>ALLONES, RENDON M.</t>
  </si>
  <si>
    <t>YABA, DICK ANSELM B.</t>
  </si>
  <si>
    <t>PATIARBA, KRISTOFF REY A.</t>
  </si>
  <si>
    <t>ANUNCIADO, RAISEN JAY N.</t>
  </si>
  <si>
    <t>RATILLA, JAY-B LOUISE L.</t>
  </si>
  <si>
    <t>ENGHOG, IOAN JAMES</t>
  </si>
  <si>
    <t>PARAISO, PAOLO ANGELO A.</t>
  </si>
  <si>
    <t>QUISMUNDO, JOHN MICHAEL E.</t>
  </si>
  <si>
    <t>BRAVO, RAFFY B.</t>
  </si>
  <si>
    <t>SAROL, KENT O.</t>
  </si>
  <si>
    <t>BUGAS, KATE CYRINE B.</t>
  </si>
  <si>
    <t>MEDEL, CARLOS MIGUEL</t>
  </si>
  <si>
    <t>ALFEREZ, JANISE MAE A.</t>
  </si>
  <si>
    <t>LOPEZ, SPENCER M.</t>
  </si>
  <si>
    <t>ARANAS, JUHANNAH MARIE Y.</t>
  </si>
  <si>
    <t>BATASIN-IN, NIKO EDRYANN S.</t>
  </si>
  <si>
    <t>MOGAWAN, JUHANER M.</t>
  </si>
  <si>
    <t>SOLIVA, CARISSA JESCA S.</t>
  </si>
  <si>
    <t>CONACO III, DANILO S.</t>
  </si>
  <si>
    <t>JAVA, ARJAY N.</t>
  </si>
  <si>
    <t>BERSANO, JHON RHONNEL R.</t>
  </si>
  <si>
    <t>SEGOVIA, ARGIE A.</t>
  </si>
  <si>
    <t>RANOCO, SAM ALEXIS B.</t>
  </si>
  <si>
    <t>ACASO, JUNE CAESAR P.</t>
  </si>
  <si>
    <t>ASARES, KEAN EDGAR Q.</t>
  </si>
  <si>
    <t>GADRINAB, CHRISTIAN JAY O.</t>
  </si>
  <si>
    <t>ACAIN, KAISER Q.</t>
  </si>
  <si>
    <t>CABATUAN, LORRAINE MHAE A.</t>
  </si>
  <si>
    <t>CABUDBUD, JAY LORD Q.</t>
  </si>
  <si>
    <t>DAYONDON, VINCENT C.</t>
  </si>
  <si>
    <t>PABAYO II, ADONIS MARTIN V.</t>
  </si>
  <si>
    <t>RIVERA, JOSE MANUEL A.</t>
  </si>
  <si>
    <t>QUIDILLA, JUSTIN L.</t>
  </si>
  <si>
    <t>MANGOTARA, NORJEHAN J.</t>
  </si>
  <si>
    <t>CANLAS, EDWINA A.</t>
  </si>
  <si>
    <t>IDULSA, VON FRIX B.</t>
  </si>
  <si>
    <t>PAGARAN, GENELYN B.</t>
  </si>
  <si>
    <t>RARAN, KING CYPRUS M.</t>
  </si>
  <si>
    <t>BELANO, KEISHA ARGIEA G.</t>
  </si>
  <si>
    <t>ORBETA, JAN LINUX L.</t>
  </si>
  <si>
    <t>CAPINPUYAN, VINCENT REYNAN II E.</t>
  </si>
  <si>
    <t>PAILAGAO, JESMAR A.</t>
  </si>
  <si>
    <t>CORTEZ, HEAVEN C.</t>
  </si>
  <si>
    <t>DADOLE, ANGEL</t>
  </si>
  <si>
    <t>ABESO, ELLA SHARMAINE N.</t>
  </si>
  <si>
    <t>ENCARGUEZ, ARL BENEDICT B.</t>
  </si>
  <si>
    <t>SUMALINOG, BENCH JAY C.</t>
  </si>
  <si>
    <t>LAURON, LOGEMER S.</t>
  </si>
  <si>
    <t>PACATANG, NIKKI U.</t>
  </si>
  <si>
    <t>SATUR, RYAN LAURENCE JACOB C.</t>
  </si>
  <si>
    <t>CODILLA, HYSSAN STEPHENSON C.</t>
  </si>
  <si>
    <t>SALADA, KENJI V.</t>
  </si>
  <si>
    <t>ABELLANO, MARK ANGELOU F.</t>
  </si>
  <si>
    <t>VALMORIA, JOHNLLOYD M.</t>
  </si>
  <si>
    <t>FALCON JR., DARWIN L.</t>
  </si>
  <si>
    <t>UMBAY, AZZIE</t>
  </si>
  <si>
    <t>UY, JOSH DANIEL I.</t>
  </si>
  <si>
    <t>SURABASQUEZ, JED ANDREI C.</t>
  </si>
  <si>
    <t>Ederango, Joshua C.</t>
  </si>
  <si>
    <t>Martin, Clark Gabriel V.</t>
  </si>
  <si>
    <t>BITANGHOL, KENT VLADIMER S.</t>
  </si>
  <si>
    <t>Caballero, Bienedict E.</t>
  </si>
  <si>
    <t>INCISO, JAN MIGUEL S.</t>
  </si>
  <si>
    <t>LLATUNA, JOHNDEN M.</t>
  </si>
  <si>
    <t>NAVAREZ, CHARLES DAVID A.</t>
  </si>
  <si>
    <t>Veluz, Ritchie Karl M.</t>
  </si>
  <si>
    <t>MONTEZA, CHLOE NICOLE O.</t>
  </si>
  <si>
    <t>KO, DONIEL EUNSON S.</t>
  </si>
  <si>
    <t>VALMORIA, LA LEUNEL B.</t>
  </si>
  <si>
    <t>BORJA, JOSE MANUEL R.</t>
  </si>
  <si>
    <t>MANDAHINOG, JHAN LHOYD S.</t>
  </si>
  <si>
    <t>LACTUAN, ASHTON NATHANIEL S.</t>
  </si>
  <si>
    <t>CABALDE, CHRISTIAN CARL C.</t>
  </si>
  <si>
    <t>AMOLATO, INIEGO T.</t>
  </si>
  <si>
    <t>PUERTO, EUNIECE KYLE P.</t>
  </si>
  <si>
    <t>Lumacang, Jhonmark T.</t>
  </si>
  <si>
    <t>GONZALES, KYLE CHRISTIAN B.</t>
  </si>
  <si>
    <t>BACABIS, RAIN ROBERT D.</t>
  </si>
  <si>
    <t>AVILA, HANS JERALD A.</t>
  </si>
  <si>
    <t>Teodora, Ralph Jhon J.</t>
  </si>
  <si>
    <t>Agbon, Nathaneal Sid Y.</t>
  </si>
  <si>
    <t>DACULA, KHAIL SEBASTIAN P.</t>
  </si>
  <si>
    <t>ABENOJAR, ZHAN NIVRA P.</t>
  </si>
  <si>
    <t>MACUD, ABDULHAQQ A.S.</t>
  </si>
  <si>
    <t>VELOSO, DANIELLE GRACE B.</t>
  </si>
  <si>
    <t>AGCOPRA, MIKE JANZEN M.</t>
  </si>
  <si>
    <t>RA, SEAN MIKEL Q.</t>
  </si>
  <si>
    <t>GARILLOS, AMBER AINSLEY A.</t>
  </si>
  <si>
    <t>REYES, CHRISTY ANN E.</t>
  </si>
  <si>
    <t>PARADILLO, RAQUE ALEXY L.</t>
  </si>
  <si>
    <t>CASTRO, SHANIA TWAIN M.</t>
  </si>
  <si>
    <t>OLIVEROS, SAMANTHA GAYLE R.</t>
  </si>
  <si>
    <t>DELOSO, RON MICHAEL M.</t>
  </si>
  <si>
    <t>DIMASUHID, ADRIAN PAUL D.</t>
  </si>
  <si>
    <t>OGARDO, ROBERT E.</t>
  </si>
  <si>
    <t>ABING, BUEN MARIE B.</t>
  </si>
  <si>
    <t>BAUTISTA, KURT XIERICK M.</t>
  </si>
  <si>
    <t>Pagara, Garry James R.</t>
  </si>
  <si>
    <t>Santiago, Gabriel John Levy M.</t>
  </si>
  <si>
    <t>SETIER, KARL XYDRYCK R.</t>
  </si>
  <si>
    <t>SILUBRICO, LIZ HEART B.</t>
  </si>
  <si>
    <t>LUNA, NASHVILLE KHENT E.</t>
  </si>
  <si>
    <t>NAGAC, CHRISTIAN JAY</t>
  </si>
  <si>
    <t>PAHAYAHAY, TRISTAN JOULES C.</t>
  </si>
  <si>
    <t>ISRAEL, PAUL BENEDICT S.</t>
  </si>
  <si>
    <t>QUINQUIÑO, SYDNY JANE R.</t>
  </si>
  <si>
    <t>Montejo, Lindasay Mae B.</t>
  </si>
  <si>
    <t>ARIZOBAL, LEONA MARIE C.</t>
  </si>
  <si>
    <t>AGUSTERO, BOB BENEDICT B.</t>
  </si>
  <si>
    <t>COQUIA, MARK DANIEL T.</t>
  </si>
  <si>
    <t>SACO, ALEANDRE MANUEL D.C.</t>
  </si>
  <si>
    <t>FILLALAN, PRECIOUS M.</t>
  </si>
  <si>
    <t>PAGUMPANA, ARMAND JADE C.</t>
  </si>
  <si>
    <t>MARAGINOT, JERHYME C.</t>
  </si>
  <si>
    <t>APUT, KISSIE ANN APPLE C.</t>
  </si>
  <si>
    <t>GAPUZ, GREGORY VINCENT J.</t>
  </si>
  <si>
    <t>SALCEDO, ARWEYNE ZOE A.</t>
  </si>
  <si>
    <t>MALONG, JOSE SATURNINO P.</t>
  </si>
  <si>
    <t>YGOT, JOSE ENRIQUE T.</t>
  </si>
  <si>
    <t>SY, WENDY MICHELLE</t>
  </si>
  <si>
    <t>DAIRO, NEIL JHON Y.</t>
  </si>
  <si>
    <t>GABE, KENT B.</t>
  </si>
  <si>
    <t>DISIMBAN, OMAR BEN-KHALIF L.</t>
  </si>
  <si>
    <t>ECHAVEZ, RITCHIE RAY JR B.</t>
  </si>
  <si>
    <t>Salvacion, Jayramiel L.</t>
  </si>
  <si>
    <t>AMPARO, RAINIER JEFFERSON R.</t>
  </si>
  <si>
    <t>GALAGNARA, NICHOLAI PATRICK C.</t>
  </si>
  <si>
    <t>TAN, VINCE JOSHUA S.</t>
  </si>
  <si>
    <t>ZAMBRANO, ALDREE C.</t>
  </si>
  <si>
    <t>CAUSIN, EDGARDO II B.</t>
  </si>
  <si>
    <t>REGATUNA, JOHN REY D.</t>
  </si>
  <si>
    <t>PERICO, JOEY E.</t>
  </si>
  <si>
    <t>BITANGCOR, JAMES DHAN S.</t>
  </si>
  <si>
    <t>NUÑEZ, JUDISON FERTH R.</t>
  </si>
  <si>
    <t>ALUG, MOHAMMAD AREEJ P.</t>
  </si>
  <si>
    <t>SUCALDITO, JEFFSON CLYDE S.</t>
  </si>
  <si>
    <t>TADLAS, ARREX BRETT R.</t>
  </si>
  <si>
    <t>AGATEA, ART JOMI L.</t>
  </si>
  <si>
    <t>AMOY, VINCENT B.</t>
  </si>
  <si>
    <t>NILLAMA, STEPHEN ANDREW S.</t>
  </si>
  <si>
    <t>RAAGAS, TOM MATTHEW M.</t>
  </si>
  <si>
    <t>BAGARES, IBHARSON N.</t>
  </si>
  <si>
    <t>LAGUINDAB, SAADODEN P.</t>
  </si>
  <si>
    <t>GUBATON, LOUIE JAY B.</t>
  </si>
  <si>
    <t>CUAJAO, ARIEL JAY S.</t>
  </si>
  <si>
    <t>CEMPRON, ANGELO VICTOR L.</t>
  </si>
  <si>
    <t>ALISASIS, LIVEN CHRISTIAN P.</t>
  </si>
  <si>
    <t>CENAS, ANTONNEY DALE L.</t>
  </si>
  <si>
    <t>YAP, JOHN WILSON F.</t>
  </si>
  <si>
    <t>ABADAY, JETHRO J.</t>
  </si>
  <si>
    <t>BACARAMAN, HAMID M.</t>
  </si>
  <si>
    <t>PINGOL, FRENCESS MAY A.</t>
  </si>
  <si>
    <t>RATUNIL, MARC GABRIEL</t>
  </si>
  <si>
    <t>MERCADO, CLAIRE S.</t>
  </si>
  <si>
    <t>SORRONDA, JEB RAY N.</t>
  </si>
  <si>
    <t>TADEO, KURT EVAN V.</t>
  </si>
  <si>
    <t>BARBARONA, JOANA MAE L.</t>
  </si>
  <si>
    <t>DACULA, RICA JOY N.</t>
  </si>
  <si>
    <t>TRESMARIA, REY BENEDICT</t>
  </si>
  <si>
    <t>BARROS, LIZANDRO V.</t>
  </si>
  <si>
    <t>VILLASIS, KRISTOFFER CARL A.</t>
  </si>
  <si>
    <t>ECHAVEZ, RAY MICHAEL B.</t>
  </si>
  <si>
    <t>SUMALINOG, NASH EMMANUEL</t>
  </si>
  <si>
    <t>CENIA, JAN MARI P.</t>
  </si>
  <si>
    <t>LACANGLACANG, MIRKO J.</t>
  </si>
  <si>
    <t>OCOY, ROSELYN N.</t>
  </si>
  <si>
    <t>TANGCALAGAN, FE P.</t>
  </si>
  <si>
    <t>SUFICIENCIA, ELVI ANGELO P.</t>
  </si>
  <si>
    <t>VILORIO, RICHARD JONES</t>
  </si>
  <si>
    <t>LOOD, SANDARA SHAYNE R.</t>
  </si>
  <si>
    <t>Santos, Nathaneil A.</t>
  </si>
  <si>
    <t>PELAEZ, CHANDY RAFAEL B.</t>
  </si>
  <si>
    <t>ALIÑAB, JESECA HEART S.</t>
  </si>
  <si>
    <t>OPOG, LYNLOU ROSE C.</t>
  </si>
  <si>
    <t>TABOBO, VICKY D.</t>
  </si>
  <si>
    <t>MOMONGAN, MADONNA L.</t>
  </si>
  <si>
    <t>PADAYHAG, JULIA MIA P.</t>
  </si>
  <si>
    <t>SOMONOD, CINDY DIANE M.</t>
  </si>
  <si>
    <t>AURE, CHARLMAIGNE ANNTONEE N.</t>
  </si>
  <si>
    <t>SACAPILO, FRANK ANTON A.</t>
  </si>
  <si>
    <t>MANOOP, MARC STEVEN U.</t>
  </si>
  <si>
    <t>ARIMAS, FRANCES SHAKINAH TIN M.</t>
  </si>
  <si>
    <t>UBALDO, GIFFORD JOHN B.</t>
  </si>
  <si>
    <t>MASUANGAT, JESIE JIM S.</t>
  </si>
  <si>
    <t>ALAMAG, CHRISTI GRACE V.</t>
  </si>
  <si>
    <t>ALFEREZ, RAJIV BEN C.</t>
  </si>
  <si>
    <t>GALA, VLADIMIR ILLYCH C.</t>
  </si>
  <si>
    <t>BETE, JAYLYSSA L.</t>
  </si>
  <si>
    <t>ESTRADA, VINZENT KC J.</t>
  </si>
  <si>
    <t>JUMAWAN, CRISTAN JADE</t>
  </si>
  <si>
    <t>PAGURAYAN, BOB BOGART L.</t>
  </si>
  <si>
    <t>BUSA, HARLEY S.</t>
  </si>
  <si>
    <t>RAMAYAN, JHON AIRSLEY L.</t>
  </si>
  <si>
    <t>LUBAN, EDRIAN G.</t>
  </si>
  <si>
    <t>RANA, KYLE AARON</t>
  </si>
  <si>
    <t>BUTAWAN, BERN FRANCIS C.</t>
  </si>
  <si>
    <t>OBSIOMA, JAMAICA A.</t>
  </si>
  <si>
    <t>PERNIA, VINCE ALAN T.</t>
  </si>
  <si>
    <t>MOCTAR, AYMAN B.</t>
  </si>
  <si>
    <t>TERO, AARON MAR C.</t>
  </si>
  <si>
    <t>CRUAN, VENGIE K.</t>
  </si>
  <si>
    <t>DONGGON, KENT JOHN C.</t>
  </si>
  <si>
    <t>LUNTAYAO, JON HANSON B.</t>
  </si>
  <si>
    <t>AMBOY, JULIANA FE S.</t>
  </si>
  <si>
    <t>DAGA, IVAN KANE MARTIN I.</t>
  </si>
  <si>
    <t>SOTO, MARTIUS NELRIS B.</t>
  </si>
  <si>
    <t>QUINTILA, MARSH IVAN H.</t>
  </si>
  <si>
    <t>NAME</t>
  </si>
  <si>
    <t>AMOUNT</t>
  </si>
  <si>
    <t>COLASTE, KHIM ALTHEA A.</t>
  </si>
  <si>
    <t>MONTANTE, REY B.</t>
  </si>
  <si>
    <t>APARTY COLLECTION (279 X 1000 = 278,600)</t>
  </si>
  <si>
    <t>TSHIRT COLLECTION (279 X ??? = ???? )</t>
  </si>
  <si>
    <t>GCASH</t>
  </si>
  <si>
    <t>INTRAMURALS COLLECTION (279 x ????? = ????)</t>
  </si>
  <si>
    <t>????</t>
  </si>
  <si>
    <t>SBO</t>
  </si>
  <si>
    <t>Tshirt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</si>
</sst>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;(#,##0.00)"/>
    <numFmt numFmtId="165" formatCode="m/d/yy"/>
    <numFmt numFmtId="166" formatCode="mm/dd/yyyy"/>
    <numFmt numFmtId="167" formatCode="mm/dd/yy"/>
  </numFmts>
  <fonts count="12">
    <font>
      <sz val="10.0"/>
      <color rgb="FF000000"/>
      <name val="Arial"/>
      <scheme val="minor"/>
    </font>
    <font>
      <sz val="12.0"/>
      <color theme="1"/>
      <name val="Cambria"/>
    </font>
    <font>
      <b/>
      <sz val="21.0"/>
      <color theme="1"/>
      <name val="Cambria"/>
    </font>
    <font>
      <b/>
      <sz val="12.0"/>
      <color rgb="FF980000"/>
      <name val="Cambria"/>
    </font>
    <font>
      <sz val="11.0"/>
      <color rgb="FF000000"/>
      <name val="&quot;Aptos Narrow&quot;"/>
    </font>
    <font>
      <b/>
      <sz val="12.0"/>
      <color theme="1"/>
      <name val="Cambria"/>
    </font>
    <font>
      <b/>
      <sz val="25.0"/>
      <color theme="1"/>
      <name val="Cambria"/>
    </font>
    <font>
      <b/>
      <sz val="19.0"/>
      <color rgb="FF073763"/>
      <name val="Cambria"/>
    </font>
    <font>
      <b/>
      <sz val="19.0"/>
      <color rgb="FF980000"/>
      <name val="Cambria"/>
    </font>
    <font>
      <sz val="12.0"/>
      <color rgb="FF000000"/>
      <name val="Cambria"/>
    </font>
    <font>
      <sz val="11.0"/>
      <color rgb="FF000000"/>
      <name val="&quot;Times New Roman&quot;"/>
    </font>
    <font>
      <b/>
      <sz val="12.0"/>
      <color rgb="FF073763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1" fillId="2" fontId="1" numFmtId="0" xfId="0" applyAlignment="1" applyBorder="1" applyFill="1" applyFont="1">
      <alignment readingOrder="0"/>
    </xf>
    <xf borderId="1" fillId="2" fontId="3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4" numFmtId="164" xfId="0" applyAlignment="1" applyFont="1" applyNumberFormat="1">
      <alignment horizontal="right" readingOrder="0" shrinkToFit="0" vertical="bottom" wrapText="0"/>
    </xf>
    <xf borderId="1" fillId="0" fontId="3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0" fontId="5" numFmtId="0" xfId="0" applyAlignment="1" applyBorder="1" applyFont="1">
      <alignment readingOrder="0"/>
    </xf>
    <xf borderId="1" fillId="0" fontId="5" numFmtId="164" xfId="0" applyBorder="1" applyFont="1" applyNumberFormat="1"/>
    <xf borderId="0" fillId="0" fontId="1" numFmtId="0" xfId="0" applyAlignment="1" applyFont="1">
      <alignment readingOrder="0"/>
    </xf>
    <xf borderId="1" fillId="2" fontId="5" numFmtId="0" xfId="0" applyAlignment="1" applyBorder="1" applyFont="1">
      <alignment readingOrder="0"/>
    </xf>
    <xf borderId="1" fillId="0" fontId="1" numFmtId="0" xfId="0" applyBorder="1" applyFont="1"/>
    <xf borderId="0" fillId="3" fontId="6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right" readingOrder="0"/>
    </xf>
    <xf borderId="0" fillId="0" fontId="7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2" fillId="0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center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5" fillId="0" fontId="9" numFmtId="165" xfId="0" applyAlignment="1" applyBorder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8" fillId="0" fontId="9" numFmtId="166" xfId="0" applyAlignment="1" applyBorder="1" applyFont="1" applyNumberFormat="1">
      <alignment horizontal="right" readingOrder="0" shrinkToFit="0" vertical="bottom" wrapText="0"/>
    </xf>
    <xf borderId="1" fillId="0" fontId="9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1" fillId="0" fontId="9" numFmtId="0" xfId="0" applyAlignment="1" applyBorder="1" applyFont="1">
      <alignment readingOrder="0" shrinkToFit="0" vertical="center" wrapText="0"/>
    </xf>
    <xf borderId="5" fillId="0" fontId="9" numFmtId="166" xfId="0" applyAlignment="1" applyBorder="1" applyFont="1" applyNumberFormat="1">
      <alignment horizontal="right" readingOrder="0" shrinkToFit="0" vertical="bottom" wrapText="0"/>
    </xf>
    <xf borderId="5" fillId="0" fontId="9" numFmtId="167" xfId="0" applyAlignment="1" applyBorder="1" applyFont="1" applyNumberFormat="1">
      <alignment horizontal="right" readingOrder="0" shrinkToFit="0" vertical="bottom" wrapText="0"/>
    </xf>
    <xf borderId="11" fillId="0" fontId="9" numFmtId="167" xfId="0" applyAlignment="1" applyBorder="1" applyFont="1" applyNumberFormat="1">
      <alignment horizontal="right" readingOrder="0" shrinkToFit="0" vertical="bottom" wrapText="0"/>
    </xf>
    <xf borderId="0" fillId="4" fontId="10" numFmtId="0" xfId="0" applyAlignment="1" applyFill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0" fontId="1" numFmtId="0" xfId="0" applyAlignment="1" applyBorder="1" applyFont="1">
      <alignment shrinkToFit="0" vertical="center" wrapText="0"/>
    </xf>
    <xf borderId="1" fillId="0" fontId="1" numFmtId="167" xfId="0" applyAlignment="1" applyBorder="1" applyFont="1" applyNumberFormat="1">
      <alignment readingOrder="0" shrinkToFit="0" vertical="center" wrapText="0"/>
    </xf>
    <xf borderId="0" fillId="0" fontId="11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1" fillId="5" fontId="5" numFmtId="0" xfId="0" applyAlignment="1" applyBorder="1" applyFill="1" applyFont="1">
      <alignment horizontal="center" readingOrder="0"/>
    </xf>
    <xf borderId="1" fillId="5" fontId="5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1" numFmtId="167" xfId="0" applyAlignment="1" applyBorder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BO-style">
      <tableStyleElement dxfId="1" type="headerRow"/>
      <tableStyleElement dxfId="2" type="firstRowStripe"/>
      <tableStyleElement dxfId="3" type="secondRowStripe"/>
    </tableStyle>
    <tableStyle count="3" pivot="0" name="APart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H284" displayName="SBO" name="SBO" id="1">
  <tableColumns count="8">
    <tableColumn name="SL #" id="1"/>
    <tableColumn name="STUDENT NAME" id="2"/>
    <tableColumn name="COURSE/Major" id="3"/>
    <tableColumn name="YEAR" id="4"/>
    <tableColumn name="Amount" id="5"/>
    <tableColumn name="Date Paid" id="6"/>
    <tableColumn name="Payment Type" id="7"/>
    <tableColumn name="OR#" id="8"/>
  </tableColumns>
  <tableStyleInfo name="SBO-style" showColumnStripes="0" showFirstColumn="1" showLastColumn="1" showRowStripes="1"/>
</table>
</file>

<file path=xl/tables/table2.xml><?xml version="1.0" encoding="utf-8"?>
<table xmlns="http://schemas.openxmlformats.org/spreadsheetml/2006/main" ref="A5:H284" displayName="Table2" name="Table2" id="2">
  <tableColumns count="8">
    <tableColumn name="SL #" id="1"/>
    <tableColumn name="STUDENT NAME" id="2"/>
    <tableColumn name="COURSE/Major" id="3"/>
    <tableColumn name="YEAR" id="4"/>
    <tableColumn name="Amount" id="5"/>
    <tableColumn name="Date Paid" id="6"/>
    <tableColumn name="Payment Type" id="7"/>
    <tableColumn name="OR#" id="8"/>
  </tableColumns>
  <tableStyleInfo name="APart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2.38"/>
    <col customWidth="1" min="4" max="4" width="21.0"/>
    <col customWidth="1" min="5" max="5" width="15.25"/>
  </cols>
  <sheetData>
    <row r="1">
      <c r="A1" s="1"/>
      <c r="B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 t="s">
        <v>1</v>
      </c>
      <c r="C3" s="3" t="s">
        <v>2</v>
      </c>
      <c r="D3" s="3" t="s">
        <v>3</v>
      </c>
      <c r="E3" s="4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5</v>
      </c>
      <c r="C4" s="6">
        <f>279*400</f>
        <v>111600</v>
      </c>
      <c r="D4" s="7">
        <f>SBO!C3</f>
        <v>3600</v>
      </c>
      <c r="E4" s="8">
        <f>C4-D4</f>
        <v>108000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5" t="s">
        <v>6</v>
      </c>
      <c r="C5" s="6">
        <f>279*1000</f>
        <v>279000</v>
      </c>
      <c r="D5" s="6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7</v>
      </c>
      <c r="C6" s="6"/>
      <c r="D6" s="6"/>
      <c r="E6" s="9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8</v>
      </c>
      <c r="C7" s="6"/>
      <c r="D7" s="6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9</v>
      </c>
      <c r="C8" s="11">
        <f t="shared" ref="C8:E8" si="1">sum(C4:C7)</f>
        <v>390600</v>
      </c>
      <c r="D8" s="11">
        <f t="shared" si="1"/>
        <v>3600</v>
      </c>
      <c r="E8" s="11">
        <f t="shared" si="1"/>
        <v>108000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3" t="s">
        <v>1</v>
      </c>
      <c r="C14" s="13" t="s">
        <v>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 t="s">
        <v>5</v>
      </c>
      <c r="C15" s="14">
        <f>Fines!E284</f>
        <v>108000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 t="s">
        <v>6</v>
      </c>
      <c r="C16" s="14">
        <f>Fines!F284</f>
        <v>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5" t="s">
        <v>7</v>
      </c>
      <c r="C17" s="14">
        <f>Fines!G284</f>
        <v>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5" t="s">
        <v>8</v>
      </c>
      <c r="C18" s="14">
        <f>Fines!H284</f>
        <v>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12</v>
      </c>
      <c r="C19" s="14">
        <f>Fines!I284</f>
        <v>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0" t="s">
        <v>9</v>
      </c>
      <c r="C20" s="14">
        <f>sum(C15:C19)</f>
        <v>108000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B1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37.75"/>
    <col customWidth="1" min="3" max="3" width="26.63"/>
    <col customWidth="1" min="4" max="4" width="13.75"/>
    <col customWidth="1" min="5" max="5" width="12.88"/>
    <col customWidth="1" min="6" max="6" width="17.38"/>
    <col customWidth="1" min="7" max="7" width="21.75"/>
  </cols>
  <sheetData>
    <row r="1">
      <c r="A1" s="15" t="s">
        <v>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6"/>
      <c r="B3" s="17" t="s">
        <v>14</v>
      </c>
      <c r="C3" s="18">
        <f>SUM(E6:E284)</f>
        <v>3600</v>
      </c>
      <c r="D3" s="16"/>
      <c r="E3" s="19" t="s">
        <v>15</v>
      </c>
      <c r="F3" s="19"/>
      <c r="G3" s="20">
        <f>(279*400)-C3</f>
        <v>108000</v>
      </c>
      <c r="H3" s="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6"/>
      <c r="B4" s="16"/>
      <c r="C4" s="16"/>
      <c r="D4" s="16"/>
      <c r="E4" s="16"/>
      <c r="F4" s="19"/>
      <c r="G4" s="19"/>
      <c r="H4" s="1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1" t="s">
        <v>16</v>
      </c>
      <c r="B5" s="22" t="s">
        <v>17</v>
      </c>
      <c r="C5" s="22" t="s">
        <v>18</v>
      </c>
      <c r="D5" s="22" t="s">
        <v>19</v>
      </c>
      <c r="E5" s="22" t="s">
        <v>11</v>
      </c>
      <c r="F5" s="23" t="s">
        <v>20</v>
      </c>
      <c r="G5" s="23" t="s">
        <v>21</v>
      </c>
      <c r="H5" s="24" t="s">
        <v>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5">
        <v>1.0</v>
      </c>
      <c r="B6" s="26" t="s">
        <v>23</v>
      </c>
      <c r="C6" s="27" t="s">
        <v>24</v>
      </c>
      <c r="D6" s="25">
        <v>1.0</v>
      </c>
      <c r="E6" s="28"/>
      <c r="F6" s="28"/>
      <c r="G6" s="29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5">
        <v>2.0</v>
      </c>
      <c r="B7" s="26" t="s">
        <v>25</v>
      </c>
      <c r="C7" s="27" t="s">
        <v>24</v>
      </c>
      <c r="D7" s="25">
        <v>1.0</v>
      </c>
      <c r="E7" s="28"/>
      <c r="F7" s="28"/>
      <c r="G7" s="29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5">
        <v>3.0</v>
      </c>
      <c r="B8" s="26" t="s">
        <v>26</v>
      </c>
      <c r="C8" s="27" t="s">
        <v>24</v>
      </c>
      <c r="D8" s="25">
        <v>1.0</v>
      </c>
      <c r="E8" s="28"/>
      <c r="F8" s="28"/>
      <c r="G8" s="29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5">
        <v>4.0</v>
      </c>
      <c r="B9" s="26" t="s">
        <v>27</v>
      </c>
      <c r="C9" s="27" t="s">
        <v>24</v>
      </c>
      <c r="D9" s="25">
        <v>1.0</v>
      </c>
      <c r="E9" s="28"/>
      <c r="F9" s="28"/>
      <c r="G9" s="29"/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5">
        <v>5.0</v>
      </c>
      <c r="B10" s="26" t="s">
        <v>28</v>
      </c>
      <c r="C10" s="27" t="s">
        <v>24</v>
      </c>
      <c r="D10" s="25">
        <v>1.0</v>
      </c>
      <c r="E10" s="28"/>
      <c r="F10" s="28"/>
      <c r="G10" s="29"/>
      <c r="H10" s="2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5">
        <v>6.0</v>
      </c>
      <c r="B11" s="26" t="s">
        <v>29</v>
      </c>
      <c r="C11" s="27" t="s">
        <v>24</v>
      </c>
      <c r="D11" s="25">
        <v>1.0</v>
      </c>
      <c r="E11" s="28"/>
      <c r="F11" s="28"/>
      <c r="G11" s="29"/>
      <c r="H11" s="2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5">
        <v>7.0</v>
      </c>
      <c r="B12" s="26" t="s">
        <v>30</v>
      </c>
      <c r="C12" s="27" t="s">
        <v>31</v>
      </c>
      <c r="D12" s="25">
        <v>1.0</v>
      </c>
      <c r="E12" s="28"/>
      <c r="F12" s="28"/>
      <c r="G12" s="29"/>
      <c r="H12" s="2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5">
        <v>8.0</v>
      </c>
      <c r="B13" s="26" t="s">
        <v>32</v>
      </c>
      <c r="C13" s="27" t="s">
        <v>33</v>
      </c>
      <c r="D13" s="25">
        <v>1.0</v>
      </c>
      <c r="E13" s="28"/>
      <c r="F13" s="28"/>
      <c r="G13" s="29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">
        <v>9.0</v>
      </c>
      <c r="B14" s="26" t="s">
        <v>34</v>
      </c>
      <c r="C14" s="27" t="s">
        <v>33</v>
      </c>
      <c r="D14" s="25">
        <v>1.0</v>
      </c>
      <c r="E14" s="28"/>
      <c r="F14" s="28"/>
      <c r="G14" s="29"/>
      <c r="H14" s="2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5">
        <v>10.0</v>
      </c>
      <c r="B15" s="26" t="s">
        <v>35</v>
      </c>
      <c r="C15" s="27" t="s">
        <v>33</v>
      </c>
      <c r="D15" s="25">
        <v>1.0</v>
      </c>
      <c r="E15" s="28"/>
      <c r="F15" s="28"/>
      <c r="G15" s="29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>
        <v>11.0</v>
      </c>
      <c r="B16" s="26" t="s">
        <v>36</v>
      </c>
      <c r="C16" s="27" t="s">
        <v>33</v>
      </c>
      <c r="D16" s="25">
        <v>1.0</v>
      </c>
      <c r="E16" s="28"/>
      <c r="F16" s="28"/>
      <c r="G16" s="29"/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5">
        <v>12.0</v>
      </c>
      <c r="B17" s="26" t="s">
        <v>37</v>
      </c>
      <c r="C17" s="27" t="s">
        <v>33</v>
      </c>
      <c r="D17" s="25">
        <v>1.0</v>
      </c>
      <c r="E17" s="28"/>
      <c r="F17" s="28"/>
      <c r="G17" s="29"/>
      <c r="H17" s="2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5">
        <v>13.0</v>
      </c>
      <c r="B18" s="26" t="s">
        <v>38</v>
      </c>
      <c r="C18" s="27" t="s">
        <v>33</v>
      </c>
      <c r="D18" s="25">
        <v>1.0</v>
      </c>
      <c r="E18" s="28"/>
      <c r="F18" s="28"/>
      <c r="G18" s="29"/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5">
        <v>14.0</v>
      </c>
      <c r="B19" s="26" t="s">
        <v>39</v>
      </c>
      <c r="C19" s="27" t="s">
        <v>33</v>
      </c>
      <c r="D19" s="25">
        <v>1.0</v>
      </c>
      <c r="E19" s="28"/>
      <c r="F19" s="28"/>
      <c r="G19" s="29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5">
        <v>15.0</v>
      </c>
      <c r="B20" s="26" t="s">
        <v>40</v>
      </c>
      <c r="C20" s="27" t="s">
        <v>33</v>
      </c>
      <c r="D20" s="25">
        <v>1.0</v>
      </c>
      <c r="E20" s="28"/>
      <c r="F20" s="28"/>
      <c r="G20" s="29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5">
        <v>16.0</v>
      </c>
      <c r="B21" s="26" t="s">
        <v>41</v>
      </c>
      <c r="C21" s="27" t="s">
        <v>33</v>
      </c>
      <c r="D21" s="25">
        <v>1.0</v>
      </c>
      <c r="E21" s="28"/>
      <c r="F21" s="28"/>
      <c r="G21" s="29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5">
        <v>17.0</v>
      </c>
      <c r="B22" s="26" t="s">
        <v>42</v>
      </c>
      <c r="C22" s="27" t="s">
        <v>33</v>
      </c>
      <c r="D22" s="25">
        <v>1.0</v>
      </c>
      <c r="E22" s="26">
        <v>400.0</v>
      </c>
      <c r="F22" s="30">
        <v>45799.0</v>
      </c>
      <c r="G22" s="27" t="s">
        <v>43</v>
      </c>
      <c r="H22" s="26">
        <v>5.0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5">
        <v>18.0</v>
      </c>
      <c r="B23" s="26" t="s">
        <v>44</v>
      </c>
      <c r="C23" s="27" t="s">
        <v>33</v>
      </c>
      <c r="D23" s="25">
        <v>1.0</v>
      </c>
      <c r="E23" s="28"/>
      <c r="F23" s="28"/>
      <c r="G23" s="29"/>
      <c r="H23" s="2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5">
        <v>19.0</v>
      </c>
      <c r="B24" s="26" t="s">
        <v>45</v>
      </c>
      <c r="C24" s="27" t="s">
        <v>33</v>
      </c>
      <c r="D24" s="25">
        <v>1.0</v>
      </c>
      <c r="E24" s="28"/>
      <c r="F24" s="28"/>
      <c r="G24" s="29"/>
      <c r="H24" s="2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5">
        <v>20.0</v>
      </c>
      <c r="B25" s="26" t="s">
        <v>46</v>
      </c>
      <c r="C25" s="27" t="s">
        <v>33</v>
      </c>
      <c r="D25" s="25">
        <v>1.0</v>
      </c>
      <c r="E25" s="28"/>
      <c r="F25" s="28"/>
      <c r="G25" s="29"/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5">
        <v>21.0</v>
      </c>
      <c r="B26" s="26" t="s">
        <v>47</v>
      </c>
      <c r="C26" s="27" t="s">
        <v>33</v>
      </c>
      <c r="D26" s="25">
        <v>1.0</v>
      </c>
      <c r="E26" s="28"/>
      <c r="F26" s="28"/>
      <c r="G26" s="29"/>
      <c r="H26" s="2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">
        <v>22.0</v>
      </c>
      <c r="B27" s="26" t="s">
        <v>48</v>
      </c>
      <c r="C27" s="27" t="s">
        <v>33</v>
      </c>
      <c r="D27" s="25">
        <v>1.0</v>
      </c>
      <c r="E27" s="28"/>
      <c r="F27" s="28"/>
      <c r="G27" s="29"/>
      <c r="H27" s="2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5">
        <v>23.0</v>
      </c>
      <c r="B28" s="26" t="s">
        <v>49</v>
      </c>
      <c r="C28" s="27" t="s">
        <v>33</v>
      </c>
      <c r="D28" s="25">
        <v>1.0</v>
      </c>
      <c r="E28" s="28"/>
      <c r="F28" s="28"/>
      <c r="G28" s="29"/>
      <c r="H28" s="2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5">
        <v>24.0</v>
      </c>
      <c r="B29" s="26" t="s">
        <v>50</v>
      </c>
      <c r="C29" s="27" t="s">
        <v>33</v>
      </c>
      <c r="D29" s="25">
        <v>1.0</v>
      </c>
      <c r="E29" s="28"/>
      <c r="F29" s="28"/>
      <c r="G29" s="29"/>
      <c r="H29" s="2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5">
        <v>25.0</v>
      </c>
      <c r="B30" s="26" t="s">
        <v>51</v>
      </c>
      <c r="C30" s="27" t="s">
        <v>33</v>
      </c>
      <c r="D30" s="25">
        <v>1.0</v>
      </c>
      <c r="E30" s="28"/>
      <c r="F30" s="28"/>
      <c r="G30" s="29"/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1">
        <v>26.0</v>
      </c>
      <c r="B31" s="32" t="s">
        <v>52</v>
      </c>
      <c r="C31" s="33" t="s">
        <v>33</v>
      </c>
      <c r="D31" s="34">
        <v>1.0</v>
      </c>
      <c r="E31" s="35"/>
      <c r="F31" s="36"/>
      <c r="G31" s="29"/>
      <c r="H31" s="3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5">
        <v>27.0</v>
      </c>
      <c r="B32" s="26" t="s">
        <v>53</v>
      </c>
      <c r="C32" s="27" t="s">
        <v>33</v>
      </c>
      <c r="D32" s="25">
        <v>1.0</v>
      </c>
      <c r="E32" s="28"/>
      <c r="F32" s="28"/>
      <c r="G32" s="29"/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5">
        <v>28.0</v>
      </c>
      <c r="B33" s="26" t="s">
        <v>54</v>
      </c>
      <c r="C33" s="27" t="s">
        <v>33</v>
      </c>
      <c r="D33" s="25">
        <v>1.0</v>
      </c>
      <c r="E33" s="28"/>
      <c r="F33" s="28"/>
      <c r="G33" s="29"/>
      <c r="H33" s="2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5">
        <v>29.0</v>
      </c>
      <c r="B34" s="26" t="s">
        <v>55</v>
      </c>
      <c r="C34" s="27" t="s">
        <v>33</v>
      </c>
      <c r="D34" s="25">
        <v>1.0</v>
      </c>
      <c r="E34" s="28"/>
      <c r="F34" s="28"/>
      <c r="G34" s="29"/>
      <c r="H34" s="2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5">
        <v>30.0</v>
      </c>
      <c r="B35" s="26" t="s">
        <v>56</v>
      </c>
      <c r="C35" s="27" t="s">
        <v>33</v>
      </c>
      <c r="D35" s="25">
        <v>1.0</v>
      </c>
      <c r="E35" s="28"/>
      <c r="F35" s="28"/>
      <c r="G35" s="29"/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5">
        <v>31.0</v>
      </c>
      <c r="B36" s="26" t="s">
        <v>57</v>
      </c>
      <c r="C36" s="27" t="s">
        <v>33</v>
      </c>
      <c r="D36" s="25">
        <v>1.0</v>
      </c>
      <c r="E36" s="26">
        <v>400.0</v>
      </c>
      <c r="F36" s="30">
        <v>45799.0</v>
      </c>
      <c r="G36" s="27" t="s">
        <v>43</v>
      </c>
      <c r="H36" s="26">
        <v>6.0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5">
        <v>32.0</v>
      </c>
      <c r="B37" s="26" t="s">
        <v>58</v>
      </c>
      <c r="C37" s="27" t="s">
        <v>33</v>
      </c>
      <c r="D37" s="25">
        <v>1.0</v>
      </c>
      <c r="E37" s="28"/>
      <c r="F37" s="28"/>
      <c r="G37" s="29"/>
      <c r="H37" s="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5">
        <v>33.0</v>
      </c>
      <c r="B38" s="26" t="s">
        <v>59</v>
      </c>
      <c r="C38" s="27" t="s">
        <v>33</v>
      </c>
      <c r="D38" s="25">
        <v>1.0</v>
      </c>
      <c r="E38" s="28"/>
      <c r="F38" s="28"/>
      <c r="G38" s="29"/>
      <c r="H38" s="2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5">
        <v>34.0</v>
      </c>
      <c r="B39" s="26" t="s">
        <v>60</v>
      </c>
      <c r="C39" s="27" t="s">
        <v>33</v>
      </c>
      <c r="D39" s="25">
        <v>1.0</v>
      </c>
      <c r="E39" s="26">
        <v>400.0</v>
      </c>
      <c r="F39" s="38">
        <v>45804.0</v>
      </c>
      <c r="G39" s="27" t="s">
        <v>43</v>
      </c>
      <c r="H39" s="26">
        <v>9.0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5">
        <v>35.0</v>
      </c>
      <c r="B40" s="26" t="s">
        <v>61</v>
      </c>
      <c r="C40" s="27" t="s">
        <v>33</v>
      </c>
      <c r="D40" s="25">
        <v>1.0</v>
      </c>
      <c r="E40" s="28"/>
      <c r="F40" s="28"/>
      <c r="G40" s="29"/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5">
        <v>36.0</v>
      </c>
      <c r="B41" s="26" t="s">
        <v>62</v>
      </c>
      <c r="C41" s="27" t="s">
        <v>33</v>
      </c>
      <c r="D41" s="25">
        <v>1.0</v>
      </c>
      <c r="E41" s="28"/>
      <c r="F41" s="28"/>
      <c r="G41" s="29"/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5">
        <v>37.0</v>
      </c>
      <c r="B42" s="26" t="s">
        <v>63</v>
      </c>
      <c r="C42" s="27" t="s">
        <v>33</v>
      </c>
      <c r="D42" s="25">
        <v>1.0</v>
      </c>
      <c r="E42" s="28"/>
      <c r="F42" s="28"/>
      <c r="G42" s="29"/>
      <c r="H42" s="2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5">
        <v>38.0</v>
      </c>
      <c r="B43" s="26" t="s">
        <v>64</v>
      </c>
      <c r="C43" s="27" t="s">
        <v>33</v>
      </c>
      <c r="D43" s="25">
        <v>1.0</v>
      </c>
      <c r="E43" s="28"/>
      <c r="F43" s="28"/>
      <c r="G43" s="29"/>
      <c r="H43" s="2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5">
        <v>39.0</v>
      </c>
      <c r="B44" s="26" t="s">
        <v>65</v>
      </c>
      <c r="C44" s="27" t="s">
        <v>33</v>
      </c>
      <c r="D44" s="25">
        <v>1.0</v>
      </c>
      <c r="E44" s="28"/>
      <c r="F44" s="28"/>
      <c r="G44" s="29"/>
      <c r="H44" s="2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5">
        <v>40.0</v>
      </c>
      <c r="B45" s="26" t="s">
        <v>66</v>
      </c>
      <c r="C45" s="27" t="s">
        <v>33</v>
      </c>
      <c r="D45" s="25">
        <v>1.0</v>
      </c>
      <c r="E45" s="28"/>
      <c r="F45" s="28"/>
      <c r="G45" s="29"/>
      <c r="H45" s="2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9">
        <v>41.0</v>
      </c>
      <c r="B46" s="40" t="s">
        <v>67</v>
      </c>
      <c r="C46" s="41" t="s">
        <v>33</v>
      </c>
      <c r="D46" s="39">
        <v>1.0</v>
      </c>
      <c r="E46" s="28"/>
      <c r="F46" s="28"/>
      <c r="G46" s="29"/>
      <c r="H46" s="2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9">
        <v>42.0</v>
      </c>
      <c r="B47" s="40" t="s">
        <v>68</v>
      </c>
      <c r="C47" s="41" t="s">
        <v>33</v>
      </c>
      <c r="D47" s="39">
        <v>1.0</v>
      </c>
      <c r="E47" s="28"/>
      <c r="F47" s="28"/>
      <c r="G47" s="29"/>
      <c r="H47" s="2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9">
        <v>43.0</v>
      </c>
      <c r="B48" s="40" t="s">
        <v>69</v>
      </c>
      <c r="C48" s="41" t="s">
        <v>33</v>
      </c>
      <c r="D48" s="39">
        <v>1.0</v>
      </c>
      <c r="E48" s="28"/>
      <c r="F48" s="28"/>
      <c r="G48" s="29"/>
      <c r="H48" s="2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9">
        <v>44.0</v>
      </c>
      <c r="B49" s="40" t="s">
        <v>70</v>
      </c>
      <c r="C49" s="41" t="s">
        <v>33</v>
      </c>
      <c r="D49" s="39">
        <v>1.0</v>
      </c>
      <c r="E49" s="28"/>
      <c r="F49" s="28"/>
      <c r="G49" s="29"/>
      <c r="H49" s="2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9">
        <v>45.0</v>
      </c>
      <c r="B50" s="40" t="s">
        <v>71</v>
      </c>
      <c r="C50" s="41" t="s">
        <v>33</v>
      </c>
      <c r="D50" s="39">
        <v>1.0</v>
      </c>
      <c r="E50" s="28"/>
      <c r="F50" s="28"/>
      <c r="G50" s="29"/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9">
        <v>46.0</v>
      </c>
      <c r="B51" s="40" t="s">
        <v>72</v>
      </c>
      <c r="C51" s="41" t="s">
        <v>33</v>
      </c>
      <c r="D51" s="39">
        <v>1.0</v>
      </c>
      <c r="E51" s="28"/>
      <c r="F51" s="28"/>
      <c r="G51" s="29"/>
      <c r="H51" s="2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9">
        <v>47.0</v>
      </c>
      <c r="B52" s="40" t="s">
        <v>73</v>
      </c>
      <c r="C52" s="41" t="s">
        <v>33</v>
      </c>
      <c r="D52" s="39">
        <v>1.0</v>
      </c>
      <c r="E52" s="26">
        <v>400.0</v>
      </c>
      <c r="F52" s="42">
        <v>45800.0</v>
      </c>
      <c r="G52" s="27" t="s">
        <v>43</v>
      </c>
      <c r="H52" s="26">
        <v>8.0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9">
        <v>48.0</v>
      </c>
      <c r="B53" s="40" t="s">
        <v>74</v>
      </c>
      <c r="C53" s="41" t="s">
        <v>33</v>
      </c>
      <c r="D53" s="39">
        <v>1.0</v>
      </c>
      <c r="E53" s="28"/>
      <c r="F53" s="28"/>
      <c r="G53" s="29"/>
      <c r="H53" s="2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9">
        <v>49.0</v>
      </c>
      <c r="B54" s="40" t="s">
        <v>75</v>
      </c>
      <c r="C54" s="41" t="s">
        <v>33</v>
      </c>
      <c r="D54" s="39">
        <v>1.0</v>
      </c>
      <c r="E54" s="28"/>
      <c r="F54" s="28"/>
      <c r="G54" s="29"/>
      <c r="H54" s="2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9">
        <v>50.0</v>
      </c>
      <c r="B55" s="40" t="s">
        <v>76</v>
      </c>
      <c r="C55" s="41" t="s">
        <v>33</v>
      </c>
      <c r="D55" s="39">
        <v>1.0</v>
      </c>
      <c r="E55" s="28"/>
      <c r="F55" s="28"/>
      <c r="G55" s="29"/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9">
        <v>51.0</v>
      </c>
      <c r="B56" s="40" t="s">
        <v>77</v>
      </c>
      <c r="C56" s="41" t="s">
        <v>33</v>
      </c>
      <c r="D56" s="39">
        <v>1.0</v>
      </c>
      <c r="E56" s="28"/>
      <c r="F56" s="28"/>
      <c r="G56" s="29"/>
      <c r="H56" s="2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9">
        <v>52.0</v>
      </c>
      <c r="B57" s="40" t="s">
        <v>78</v>
      </c>
      <c r="C57" s="41" t="s">
        <v>33</v>
      </c>
      <c r="D57" s="39">
        <v>1.0</v>
      </c>
      <c r="E57" s="28"/>
      <c r="F57" s="28"/>
      <c r="G57" s="29"/>
      <c r="H57" s="2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9">
        <v>53.0</v>
      </c>
      <c r="B58" s="40" t="s">
        <v>79</v>
      </c>
      <c r="C58" s="41" t="s">
        <v>33</v>
      </c>
      <c r="D58" s="39">
        <v>1.0</v>
      </c>
      <c r="E58" s="28"/>
      <c r="F58" s="28"/>
      <c r="G58" s="29"/>
      <c r="H58" s="2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9">
        <v>54.0</v>
      </c>
      <c r="B59" s="40" t="s">
        <v>80</v>
      </c>
      <c r="C59" s="41" t="s">
        <v>33</v>
      </c>
      <c r="D59" s="39">
        <v>1.0</v>
      </c>
      <c r="E59" s="28"/>
      <c r="F59" s="28"/>
      <c r="G59" s="29"/>
      <c r="H59" s="2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9">
        <v>55.0</v>
      </c>
      <c r="B60" s="40" t="s">
        <v>81</v>
      </c>
      <c r="C60" s="41" t="s">
        <v>33</v>
      </c>
      <c r="D60" s="39">
        <v>1.0</v>
      </c>
      <c r="E60" s="28"/>
      <c r="F60" s="28"/>
      <c r="G60" s="29"/>
      <c r="H60" s="2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9">
        <v>56.0</v>
      </c>
      <c r="B61" s="40" t="s">
        <v>82</v>
      </c>
      <c r="C61" s="41" t="s">
        <v>33</v>
      </c>
      <c r="D61" s="39">
        <v>1.0</v>
      </c>
      <c r="E61" s="28"/>
      <c r="F61" s="28"/>
      <c r="G61" s="29"/>
      <c r="H61" s="2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9">
        <v>57.0</v>
      </c>
      <c r="B62" s="40" t="s">
        <v>83</v>
      </c>
      <c r="C62" s="41" t="s">
        <v>33</v>
      </c>
      <c r="D62" s="39">
        <v>1.0</v>
      </c>
      <c r="E62" s="28"/>
      <c r="F62" s="28"/>
      <c r="G62" s="29"/>
      <c r="H62" s="2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9">
        <v>58.0</v>
      </c>
      <c r="B63" s="40" t="s">
        <v>84</v>
      </c>
      <c r="C63" s="41" t="s">
        <v>33</v>
      </c>
      <c r="D63" s="39">
        <v>1.0</v>
      </c>
      <c r="E63" s="28"/>
      <c r="F63" s="28"/>
      <c r="G63" s="29"/>
      <c r="H63" s="2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9">
        <v>59.0</v>
      </c>
      <c r="B64" s="40" t="s">
        <v>85</v>
      </c>
      <c r="C64" s="41" t="s">
        <v>33</v>
      </c>
      <c r="D64" s="39">
        <v>1.0</v>
      </c>
      <c r="E64" s="28"/>
      <c r="F64" s="28"/>
      <c r="G64" s="29"/>
      <c r="H64" s="2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9">
        <v>60.0</v>
      </c>
      <c r="B65" s="40" t="s">
        <v>86</v>
      </c>
      <c r="C65" s="41" t="s">
        <v>33</v>
      </c>
      <c r="D65" s="39">
        <v>1.0</v>
      </c>
      <c r="E65" s="28"/>
      <c r="F65" s="28"/>
      <c r="G65" s="29"/>
      <c r="H65" s="2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9">
        <v>61.0</v>
      </c>
      <c r="B66" s="40" t="s">
        <v>87</v>
      </c>
      <c r="C66" s="41" t="s">
        <v>33</v>
      </c>
      <c r="D66" s="39">
        <v>1.0</v>
      </c>
      <c r="E66" s="26">
        <v>400.0</v>
      </c>
      <c r="F66" s="43">
        <v>45792.0</v>
      </c>
      <c r="G66" s="27" t="s">
        <v>43</v>
      </c>
      <c r="H66" s="26">
        <v>1.0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9">
        <v>62.0</v>
      </c>
      <c r="B67" s="40" t="s">
        <v>88</v>
      </c>
      <c r="C67" s="41" t="s">
        <v>33</v>
      </c>
      <c r="D67" s="39">
        <v>1.0</v>
      </c>
      <c r="E67" s="26">
        <v>400.0</v>
      </c>
      <c r="F67" s="44">
        <v>45792.0</v>
      </c>
      <c r="G67" s="27" t="s">
        <v>43</v>
      </c>
      <c r="H67" s="26">
        <v>2.0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9">
        <v>63.0</v>
      </c>
      <c r="B68" s="40" t="s">
        <v>89</v>
      </c>
      <c r="C68" s="41" t="s">
        <v>33</v>
      </c>
      <c r="D68" s="39">
        <v>1.0</v>
      </c>
      <c r="E68" s="26">
        <v>400.0</v>
      </c>
      <c r="F68" s="43">
        <v>45792.0</v>
      </c>
      <c r="G68" s="27" t="s">
        <v>43</v>
      </c>
      <c r="H68" s="26">
        <v>3.0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9">
        <v>64.0</v>
      </c>
      <c r="B69" s="40" t="s">
        <v>90</v>
      </c>
      <c r="C69" s="41" t="s">
        <v>33</v>
      </c>
      <c r="D69" s="39">
        <v>1.0</v>
      </c>
      <c r="E69" s="28"/>
      <c r="F69" s="28"/>
      <c r="G69" s="29"/>
      <c r="H69" s="2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9">
        <v>65.0</v>
      </c>
      <c r="B70" s="40" t="s">
        <v>91</v>
      </c>
      <c r="C70" s="41" t="s">
        <v>33</v>
      </c>
      <c r="D70" s="39">
        <v>1.0</v>
      </c>
      <c r="E70" s="28"/>
      <c r="F70" s="28"/>
      <c r="G70" s="29"/>
      <c r="H70" s="2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9">
        <v>66.0</v>
      </c>
      <c r="B71" s="40" t="s">
        <v>92</v>
      </c>
      <c r="C71" s="41" t="s">
        <v>33</v>
      </c>
      <c r="D71" s="39">
        <v>1.0</v>
      </c>
      <c r="E71" s="26">
        <v>400.0</v>
      </c>
      <c r="F71" s="38">
        <v>45800.0</v>
      </c>
      <c r="G71" s="27" t="s">
        <v>43</v>
      </c>
      <c r="H71" s="26">
        <v>7.0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9">
        <v>67.0</v>
      </c>
      <c r="B72" s="40" t="s">
        <v>93</v>
      </c>
      <c r="C72" s="41" t="s">
        <v>33</v>
      </c>
      <c r="D72" s="39">
        <v>1.0</v>
      </c>
      <c r="E72" s="28"/>
      <c r="F72" s="28"/>
      <c r="G72" s="29"/>
      <c r="H72" s="2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9">
        <v>68.0</v>
      </c>
      <c r="B73" s="40" t="s">
        <v>94</v>
      </c>
      <c r="C73" s="41" t="s">
        <v>33</v>
      </c>
      <c r="D73" s="39">
        <v>1.0</v>
      </c>
      <c r="E73" s="28"/>
      <c r="F73" s="28"/>
      <c r="G73" s="29"/>
      <c r="H73" s="2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9">
        <v>69.0</v>
      </c>
      <c r="B74" s="40" t="s">
        <v>95</v>
      </c>
      <c r="C74" s="41" t="s">
        <v>33</v>
      </c>
      <c r="D74" s="39">
        <v>1.0</v>
      </c>
      <c r="E74" s="26">
        <v>400.0</v>
      </c>
      <c r="F74" s="42">
        <v>45812.0</v>
      </c>
      <c r="G74" s="27" t="s">
        <v>43</v>
      </c>
      <c r="H74" s="26">
        <v>11.0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9">
        <v>70.0</v>
      </c>
      <c r="B75" s="40" t="s">
        <v>96</v>
      </c>
      <c r="C75" s="41" t="s">
        <v>33</v>
      </c>
      <c r="D75" s="39">
        <v>1.0</v>
      </c>
      <c r="E75" s="28"/>
      <c r="F75" s="28"/>
      <c r="G75" s="29"/>
      <c r="H75" s="2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9">
        <v>71.0</v>
      </c>
      <c r="B76" s="40" t="s">
        <v>97</v>
      </c>
      <c r="C76" s="41" t="s">
        <v>33</v>
      </c>
      <c r="D76" s="39">
        <v>1.0</v>
      </c>
      <c r="E76" s="28"/>
      <c r="F76" s="28"/>
      <c r="G76" s="29"/>
      <c r="H76" s="2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9">
        <v>72.0</v>
      </c>
      <c r="B77" s="40" t="s">
        <v>98</v>
      </c>
      <c r="C77" s="41" t="s">
        <v>33</v>
      </c>
      <c r="D77" s="39">
        <v>1.0</v>
      </c>
      <c r="E77" s="28"/>
      <c r="F77" s="28"/>
      <c r="G77" s="29"/>
      <c r="H77" s="2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9">
        <v>73.0</v>
      </c>
      <c r="B78" s="40" t="s">
        <v>99</v>
      </c>
      <c r="C78" s="41" t="s">
        <v>33</v>
      </c>
      <c r="D78" s="39">
        <v>1.0</v>
      </c>
      <c r="E78" s="28"/>
      <c r="F78" s="28"/>
      <c r="G78" s="29"/>
      <c r="H78" s="2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9">
        <v>74.0</v>
      </c>
      <c r="B79" s="40" t="s">
        <v>100</v>
      </c>
      <c r="C79" s="41" t="s">
        <v>33</v>
      </c>
      <c r="D79" s="39">
        <v>1.0</v>
      </c>
      <c r="E79" s="28"/>
      <c r="F79" s="28"/>
      <c r="G79" s="29"/>
      <c r="H79" s="2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9">
        <v>75.0</v>
      </c>
      <c r="B80" s="40" t="s">
        <v>101</v>
      </c>
      <c r="C80" s="41" t="s">
        <v>33</v>
      </c>
      <c r="D80" s="39">
        <v>1.0</v>
      </c>
      <c r="E80" s="28"/>
      <c r="F80" s="28"/>
      <c r="G80" s="29"/>
      <c r="H80" s="2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9">
        <v>76.0</v>
      </c>
      <c r="B81" s="40" t="s">
        <v>102</v>
      </c>
      <c r="C81" s="41" t="s">
        <v>33</v>
      </c>
      <c r="D81" s="39">
        <v>1.0</v>
      </c>
      <c r="E81" s="28"/>
      <c r="F81" s="28"/>
      <c r="G81" s="29"/>
      <c r="H81" s="2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9">
        <v>77.0</v>
      </c>
      <c r="B82" s="40" t="s">
        <v>103</v>
      </c>
      <c r="C82" s="41" t="s">
        <v>33</v>
      </c>
      <c r="D82" s="39">
        <v>1.0</v>
      </c>
      <c r="E82" s="28"/>
      <c r="F82" s="28"/>
      <c r="G82" s="29"/>
      <c r="H82" s="2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9">
        <v>78.0</v>
      </c>
      <c r="B83" s="40" t="s">
        <v>104</v>
      </c>
      <c r="C83" s="41" t="s">
        <v>33</v>
      </c>
      <c r="D83" s="39">
        <v>1.0</v>
      </c>
      <c r="E83" s="28"/>
      <c r="F83" s="28"/>
      <c r="G83" s="29"/>
      <c r="H83" s="2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9">
        <v>79.0</v>
      </c>
      <c r="B84" s="40" t="s">
        <v>105</v>
      </c>
      <c r="C84" s="41" t="s">
        <v>33</v>
      </c>
      <c r="D84" s="39">
        <v>1.0</v>
      </c>
      <c r="E84" s="28"/>
      <c r="F84" s="28"/>
      <c r="G84" s="29"/>
      <c r="H84" s="2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9">
        <v>80.0</v>
      </c>
      <c r="B85" s="40" t="s">
        <v>106</v>
      </c>
      <c r="C85" s="41" t="s">
        <v>33</v>
      </c>
      <c r="D85" s="39">
        <v>1.0</v>
      </c>
      <c r="E85" s="28"/>
      <c r="F85" s="28"/>
      <c r="G85" s="29"/>
      <c r="H85" s="2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9">
        <v>81.0</v>
      </c>
      <c r="B86" s="40" t="s">
        <v>107</v>
      </c>
      <c r="C86" s="41" t="s">
        <v>33</v>
      </c>
      <c r="D86" s="39">
        <v>1.0</v>
      </c>
      <c r="E86" s="28"/>
      <c r="F86" s="28"/>
      <c r="G86" s="29"/>
      <c r="H86" s="2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9">
        <v>82.0</v>
      </c>
      <c r="B87" s="40" t="s">
        <v>108</v>
      </c>
      <c r="C87" s="41" t="s">
        <v>33</v>
      </c>
      <c r="D87" s="39">
        <v>1.0</v>
      </c>
      <c r="E87" s="28"/>
      <c r="F87" s="28"/>
      <c r="G87" s="29"/>
      <c r="H87" s="2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9">
        <v>83.0</v>
      </c>
      <c r="B88" s="40" t="s">
        <v>109</v>
      </c>
      <c r="C88" s="41" t="s">
        <v>33</v>
      </c>
      <c r="D88" s="39">
        <v>1.0</v>
      </c>
      <c r="E88" s="28"/>
      <c r="F88" s="28"/>
      <c r="G88" s="29"/>
      <c r="H88" s="2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9">
        <v>84.0</v>
      </c>
      <c r="B89" s="40" t="s">
        <v>110</v>
      </c>
      <c r="C89" s="41" t="s">
        <v>33</v>
      </c>
      <c r="D89" s="39">
        <v>1.0</v>
      </c>
      <c r="E89" s="28"/>
      <c r="F89" s="28"/>
      <c r="G89" s="29"/>
      <c r="H89" s="2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9">
        <v>85.0</v>
      </c>
      <c r="B90" s="40" t="s">
        <v>111</v>
      </c>
      <c r="C90" s="41" t="s">
        <v>33</v>
      </c>
      <c r="D90" s="39">
        <v>1.0</v>
      </c>
      <c r="E90" s="28"/>
      <c r="F90" s="28"/>
      <c r="G90" s="29"/>
      <c r="H90" s="2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9">
        <v>86.0</v>
      </c>
      <c r="B91" s="40" t="s">
        <v>112</v>
      </c>
      <c r="C91" s="41" t="s">
        <v>33</v>
      </c>
      <c r="D91" s="39">
        <v>1.0</v>
      </c>
      <c r="E91" s="28"/>
      <c r="F91" s="28"/>
      <c r="G91" s="29"/>
      <c r="H91" s="2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9">
        <v>87.0</v>
      </c>
      <c r="B92" s="40" t="s">
        <v>113</v>
      </c>
      <c r="C92" s="41" t="s">
        <v>33</v>
      </c>
      <c r="D92" s="39">
        <v>1.0</v>
      </c>
      <c r="E92" s="28"/>
      <c r="F92" s="28"/>
      <c r="G92" s="29"/>
      <c r="H92" s="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9">
        <v>88.0</v>
      </c>
      <c r="B93" s="40" t="s">
        <v>114</v>
      </c>
      <c r="C93" s="41" t="s">
        <v>33</v>
      </c>
      <c r="D93" s="39">
        <v>1.0</v>
      </c>
      <c r="E93" s="28"/>
      <c r="F93" s="28"/>
      <c r="G93" s="29"/>
      <c r="H93" s="2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9">
        <v>89.0</v>
      </c>
      <c r="B94" s="40" t="s">
        <v>115</v>
      </c>
      <c r="C94" s="41" t="s">
        <v>33</v>
      </c>
      <c r="D94" s="39">
        <v>1.0</v>
      </c>
      <c r="E94" s="28"/>
      <c r="F94" s="28"/>
      <c r="G94" s="29"/>
      <c r="H94" s="2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9">
        <v>90.0</v>
      </c>
      <c r="B95" s="40" t="s">
        <v>116</v>
      </c>
      <c r="C95" s="41" t="s">
        <v>33</v>
      </c>
      <c r="D95" s="39">
        <v>1.0</v>
      </c>
      <c r="E95" s="28"/>
      <c r="F95" s="28"/>
      <c r="G95" s="29"/>
      <c r="H95" s="2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9">
        <v>91.0</v>
      </c>
      <c r="B96" s="40" t="s">
        <v>117</v>
      </c>
      <c r="C96" s="41" t="s">
        <v>33</v>
      </c>
      <c r="D96" s="39">
        <v>1.0</v>
      </c>
      <c r="E96" s="28"/>
      <c r="F96" s="28"/>
      <c r="G96" s="29"/>
      <c r="H96" s="2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9">
        <v>92.0</v>
      </c>
      <c r="B97" s="40" t="s">
        <v>118</v>
      </c>
      <c r="C97" s="41" t="s">
        <v>33</v>
      </c>
      <c r="D97" s="39">
        <v>1.0</v>
      </c>
      <c r="E97" s="28"/>
      <c r="F97" s="28"/>
      <c r="G97" s="29"/>
      <c r="H97" s="2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9">
        <v>93.0</v>
      </c>
      <c r="B98" s="40" t="s">
        <v>119</v>
      </c>
      <c r="C98" s="41" t="s">
        <v>33</v>
      </c>
      <c r="D98" s="39">
        <v>1.0</v>
      </c>
      <c r="E98" s="28"/>
      <c r="F98" s="28"/>
      <c r="G98" s="29"/>
      <c r="H98" s="2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9">
        <v>94.0</v>
      </c>
      <c r="B99" s="40" t="s">
        <v>120</v>
      </c>
      <c r="C99" s="41" t="s">
        <v>33</v>
      </c>
      <c r="D99" s="39">
        <v>1.0</v>
      </c>
      <c r="E99" s="28"/>
      <c r="F99" s="28"/>
      <c r="G99" s="29"/>
      <c r="H99" s="2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9">
        <v>95.0</v>
      </c>
      <c r="B100" s="40" t="s">
        <v>121</v>
      </c>
      <c r="C100" s="41" t="s">
        <v>33</v>
      </c>
      <c r="D100" s="39">
        <v>1.0</v>
      </c>
      <c r="E100" s="28"/>
      <c r="F100" s="28"/>
      <c r="G100" s="29"/>
      <c r="H100" s="2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9">
        <v>96.0</v>
      </c>
      <c r="B101" s="40" t="s">
        <v>122</v>
      </c>
      <c r="C101" s="41" t="s">
        <v>33</v>
      </c>
      <c r="D101" s="39">
        <v>1.0</v>
      </c>
      <c r="E101" s="28"/>
      <c r="F101" s="28"/>
      <c r="G101" s="29"/>
      <c r="H101" s="2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9">
        <v>97.0</v>
      </c>
      <c r="B102" s="40" t="s">
        <v>123</v>
      </c>
      <c r="C102" s="41" t="s">
        <v>33</v>
      </c>
      <c r="D102" s="39">
        <v>1.0</v>
      </c>
      <c r="E102" s="28"/>
      <c r="F102" s="28"/>
      <c r="G102" s="29"/>
      <c r="H102" s="2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9">
        <v>98.0</v>
      </c>
      <c r="B103" s="40" t="s">
        <v>124</v>
      </c>
      <c r="C103" s="41" t="s">
        <v>33</v>
      </c>
      <c r="D103" s="39">
        <v>1.0</v>
      </c>
      <c r="E103" s="28"/>
      <c r="F103" s="28"/>
      <c r="G103" s="29"/>
      <c r="H103" s="2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9">
        <v>99.0</v>
      </c>
      <c r="B104" s="40" t="s">
        <v>125</v>
      </c>
      <c r="C104" s="41" t="s">
        <v>33</v>
      </c>
      <c r="D104" s="39">
        <v>1.0</v>
      </c>
      <c r="E104" s="28"/>
      <c r="F104" s="28"/>
      <c r="G104" s="29"/>
      <c r="H104" s="2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9">
        <v>100.0</v>
      </c>
      <c r="B105" s="40" t="s">
        <v>126</v>
      </c>
      <c r="C105" s="41" t="s">
        <v>33</v>
      </c>
      <c r="D105" s="39">
        <v>1.0</v>
      </c>
      <c r="E105" s="28"/>
      <c r="F105" s="28"/>
      <c r="G105" s="29"/>
      <c r="H105" s="2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9">
        <v>101.0</v>
      </c>
      <c r="B106" s="40" t="s">
        <v>127</v>
      </c>
      <c r="C106" s="41" t="s">
        <v>33</v>
      </c>
      <c r="D106" s="39">
        <v>1.0</v>
      </c>
      <c r="E106" s="28"/>
      <c r="F106" s="28"/>
      <c r="G106" s="29"/>
      <c r="H106" s="2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9">
        <v>102.0</v>
      </c>
      <c r="B107" s="40" t="s">
        <v>128</v>
      </c>
      <c r="C107" s="41" t="s">
        <v>33</v>
      </c>
      <c r="D107" s="39">
        <v>1.0</v>
      </c>
      <c r="E107" s="28"/>
      <c r="F107" s="28"/>
      <c r="G107" s="29"/>
      <c r="H107" s="2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9">
        <v>103.0</v>
      </c>
      <c r="B108" s="40" t="s">
        <v>129</v>
      </c>
      <c r="C108" s="41" t="s">
        <v>33</v>
      </c>
      <c r="D108" s="39">
        <v>1.0</v>
      </c>
      <c r="E108" s="28"/>
      <c r="F108" s="28"/>
      <c r="G108" s="29"/>
      <c r="H108" s="2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9">
        <v>104.0</v>
      </c>
      <c r="B109" s="40" t="s">
        <v>130</v>
      </c>
      <c r="C109" s="41" t="s">
        <v>33</v>
      </c>
      <c r="D109" s="39">
        <v>1.0</v>
      </c>
      <c r="E109" s="28"/>
      <c r="F109" s="28"/>
      <c r="G109" s="29"/>
      <c r="H109" s="2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9">
        <v>105.0</v>
      </c>
      <c r="B110" s="40" t="s">
        <v>131</v>
      </c>
      <c r="C110" s="41" t="s">
        <v>33</v>
      </c>
      <c r="D110" s="39">
        <v>1.0</v>
      </c>
      <c r="E110" s="28"/>
      <c r="F110" s="28"/>
      <c r="G110" s="29"/>
      <c r="H110" s="2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9">
        <v>106.0</v>
      </c>
      <c r="B111" s="40" t="s">
        <v>132</v>
      </c>
      <c r="C111" s="41" t="s">
        <v>31</v>
      </c>
      <c r="D111" s="39">
        <v>2.0</v>
      </c>
      <c r="E111" s="28"/>
      <c r="F111" s="28"/>
      <c r="G111" s="29"/>
      <c r="H111" s="2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9">
        <v>107.0</v>
      </c>
      <c r="B112" s="40" t="s">
        <v>133</v>
      </c>
      <c r="C112" s="41" t="s">
        <v>31</v>
      </c>
      <c r="D112" s="39">
        <v>2.0</v>
      </c>
      <c r="E112" s="28"/>
      <c r="F112" s="28"/>
      <c r="G112" s="29"/>
      <c r="H112" s="2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9">
        <v>108.0</v>
      </c>
      <c r="B113" s="40" t="s">
        <v>134</v>
      </c>
      <c r="C113" s="41" t="s">
        <v>31</v>
      </c>
      <c r="D113" s="39">
        <v>2.0</v>
      </c>
      <c r="E113" s="28"/>
      <c r="F113" s="28"/>
      <c r="G113" s="29"/>
      <c r="H113" s="2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9">
        <v>109.0</v>
      </c>
      <c r="B114" s="40" t="s">
        <v>135</v>
      </c>
      <c r="C114" s="41" t="s">
        <v>31</v>
      </c>
      <c r="D114" s="39">
        <v>2.0</v>
      </c>
      <c r="E114" s="28"/>
      <c r="F114" s="28"/>
      <c r="G114" s="29"/>
      <c r="H114" s="2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9">
        <v>110.0</v>
      </c>
      <c r="B115" s="40" t="s">
        <v>136</v>
      </c>
      <c r="C115" s="41" t="s">
        <v>31</v>
      </c>
      <c r="D115" s="39">
        <v>2.0</v>
      </c>
      <c r="E115" s="28"/>
      <c r="F115" s="28"/>
      <c r="G115" s="29"/>
      <c r="H115" s="2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9">
        <v>111.0</v>
      </c>
      <c r="B116" s="40" t="s">
        <v>137</v>
      </c>
      <c r="C116" s="41" t="s">
        <v>31</v>
      </c>
      <c r="D116" s="39">
        <v>2.0</v>
      </c>
      <c r="E116" s="28"/>
      <c r="F116" s="28"/>
      <c r="G116" s="29"/>
      <c r="H116" s="2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9">
        <v>112.0</v>
      </c>
      <c r="B117" s="40" t="s">
        <v>138</v>
      </c>
      <c r="C117" s="41" t="s">
        <v>33</v>
      </c>
      <c r="D117" s="39">
        <v>2.0</v>
      </c>
      <c r="E117" s="28"/>
      <c r="F117" s="28"/>
      <c r="G117" s="29"/>
      <c r="H117" s="2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9">
        <v>113.0</v>
      </c>
      <c r="B118" s="40" t="s">
        <v>139</v>
      </c>
      <c r="C118" s="41" t="s">
        <v>33</v>
      </c>
      <c r="D118" s="39">
        <v>2.0</v>
      </c>
      <c r="E118" s="28"/>
      <c r="F118" s="28"/>
      <c r="G118" s="29"/>
      <c r="H118" s="2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9">
        <v>114.0</v>
      </c>
      <c r="B119" s="40" t="s">
        <v>140</v>
      </c>
      <c r="C119" s="41" t="s">
        <v>33</v>
      </c>
      <c r="D119" s="39">
        <v>2.0</v>
      </c>
      <c r="E119" s="28"/>
      <c r="F119" s="28"/>
      <c r="G119" s="29"/>
      <c r="H119" s="2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9">
        <v>115.0</v>
      </c>
      <c r="B120" s="40" t="s">
        <v>141</v>
      </c>
      <c r="C120" s="41" t="s">
        <v>33</v>
      </c>
      <c r="D120" s="39">
        <v>2.0</v>
      </c>
      <c r="E120" s="28"/>
      <c r="F120" s="28"/>
      <c r="G120" s="29"/>
      <c r="H120" s="2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9">
        <v>116.0</v>
      </c>
      <c r="B121" s="40" t="s">
        <v>142</v>
      </c>
      <c r="C121" s="41" t="s">
        <v>33</v>
      </c>
      <c r="D121" s="39">
        <v>2.0</v>
      </c>
      <c r="E121" s="28"/>
      <c r="F121" s="28"/>
      <c r="G121" s="29"/>
      <c r="H121" s="2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9">
        <v>117.0</v>
      </c>
      <c r="B122" s="40" t="s">
        <v>143</v>
      </c>
      <c r="C122" s="41" t="s">
        <v>33</v>
      </c>
      <c r="D122" s="39">
        <v>2.0</v>
      </c>
      <c r="E122" s="28"/>
      <c r="F122" s="28"/>
      <c r="G122" s="29"/>
      <c r="H122" s="2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9">
        <v>118.0</v>
      </c>
      <c r="B123" s="40" t="s">
        <v>144</v>
      </c>
      <c r="C123" s="41" t="s">
        <v>33</v>
      </c>
      <c r="D123" s="39">
        <v>2.0</v>
      </c>
      <c r="E123" s="28"/>
      <c r="F123" s="28"/>
      <c r="G123" s="29"/>
      <c r="H123" s="2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9">
        <v>119.0</v>
      </c>
      <c r="B124" s="40" t="s">
        <v>145</v>
      </c>
      <c r="C124" s="41" t="s">
        <v>33</v>
      </c>
      <c r="D124" s="39">
        <v>2.0</v>
      </c>
      <c r="E124" s="28"/>
      <c r="F124" s="28"/>
      <c r="G124" s="29"/>
      <c r="H124" s="2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9">
        <v>120.0</v>
      </c>
      <c r="B125" s="40" t="s">
        <v>146</v>
      </c>
      <c r="C125" s="41" t="s">
        <v>33</v>
      </c>
      <c r="D125" s="39">
        <v>2.0</v>
      </c>
      <c r="E125" s="28"/>
      <c r="F125" s="28"/>
      <c r="G125" s="29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9">
        <v>121.0</v>
      </c>
      <c r="B126" s="40" t="s">
        <v>147</v>
      </c>
      <c r="C126" s="41" t="s">
        <v>33</v>
      </c>
      <c r="D126" s="39">
        <v>2.0</v>
      </c>
      <c r="E126" s="28"/>
      <c r="F126" s="28"/>
      <c r="G126" s="29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9">
        <v>122.0</v>
      </c>
      <c r="B127" s="40" t="s">
        <v>148</v>
      </c>
      <c r="C127" s="41" t="s">
        <v>33</v>
      </c>
      <c r="D127" s="39">
        <v>2.0</v>
      </c>
      <c r="E127" s="28"/>
      <c r="F127" s="28"/>
      <c r="G127" s="29"/>
      <c r="H127" s="2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9">
        <v>123.0</v>
      </c>
      <c r="B128" s="40" t="s">
        <v>149</v>
      </c>
      <c r="C128" s="41" t="s">
        <v>33</v>
      </c>
      <c r="D128" s="39">
        <v>2.0</v>
      </c>
      <c r="E128" s="28"/>
      <c r="F128" s="28"/>
      <c r="G128" s="29"/>
      <c r="H128" s="2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9">
        <v>124.0</v>
      </c>
      <c r="B129" s="40" t="s">
        <v>150</v>
      </c>
      <c r="C129" s="41" t="s">
        <v>33</v>
      </c>
      <c r="D129" s="39">
        <v>2.0</v>
      </c>
      <c r="E129" s="28"/>
      <c r="F129" s="28"/>
      <c r="G129" s="29"/>
      <c r="H129" s="2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9">
        <v>125.0</v>
      </c>
      <c r="B130" s="40" t="s">
        <v>151</v>
      </c>
      <c r="C130" s="41" t="s">
        <v>33</v>
      </c>
      <c r="D130" s="39">
        <v>2.0</v>
      </c>
      <c r="E130" s="28"/>
      <c r="F130" s="28"/>
      <c r="G130" s="29"/>
      <c r="H130" s="2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9">
        <v>126.0</v>
      </c>
      <c r="B131" s="40" t="s">
        <v>152</v>
      </c>
      <c r="C131" s="41" t="s">
        <v>33</v>
      </c>
      <c r="D131" s="39">
        <v>2.0</v>
      </c>
      <c r="E131" s="28"/>
      <c r="F131" s="28"/>
      <c r="G131" s="29"/>
      <c r="H131" s="2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9">
        <v>127.0</v>
      </c>
      <c r="B132" s="40" t="s">
        <v>153</v>
      </c>
      <c r="C132" s="41" t="s">
        <v>33</v>
      </c>
      <c r="D132" s="39">
        <v>2.0</v>
      </c>
      <c r="E132" s="28"/>
      <c r="F132" s="28"/>
      <c r="G132" s="29"/>
      <c r="H132" s="2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9">
        <v>128.0</v>
      </c>
      <c r="B133" s="40" t="s">
        <v>154</v>
      </c>
      <c r="C133" s="41" t="s">
        <v>33</v>
      </c>
      <c r="D133" s="39">
        <v>2.0</v>
      </c>
      <c r="E133" s="28"/>
      <c r="F133" s="28"/>
      <c r="G133" s="29"/>
      <c r="H133" s="2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9">
        <v>129.0</v>
      </c>
      <c r="B134" s="40" t="s">
        <v>155</v>
      </c>
      <c r="C134" s="41" t="s">
        <v>33</v>
      </c>
      <c r="D134" s="39">
        <v>2.0</v>
      </c>
      <c r="E134" s="28"/>
      <c r="F134" s="28"/>
      <c r="G134" s="29"/>
      <c r="H134" s="2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9">
        <v>130.0</v>
      </c>
      <c r="B135" s="40" t="s">
        <v>156</v>
      </c>
      <c r="C135" s="41" t="s">
        <v>33</v>
      </c>
      <c r="D135" s="39">
        <v>2.0</v>
      </c>
      <c r="E135" s="28"/>
      <c r="F135" s="28"/>
      <c r="G135" s="29"/>
      <c r="H135" s="2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9">
        <v>131.0</v>
      </c>
      <c r="B136" s="40" t="s">
        <v>157</v>
      </c>
      <c r="C136" s="41" t="s">
        <v>33</v>
      </c>
      <c r="D136" s="39">
        <v>2.0</v>
      </c>
      <c r="E136" s="28"/>
      <c r="F136" s="28"/>
      <c r="G136" s="29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9">
        <v>132.0</v>
      </c>
      <c r="B137" s="40" t="s">
        <v>158</v>
      </c>
      <c r="C137" s="41" t="s">
        <v>33</v>
      </c>
      <c r="D137" s="39">
        <v>2.0</v>
      </c>
      <c r="E137" s="28"/>
      <c r="F137" s="28"/>
      <c r="G137" s="29"/>
      <c r="H137" s="2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9">
        <v>133.0</v>
      </c>
      <c r="B138" s="40" t="s">
        <v>159</v>
      </c>
      <c r="C138" s="41" t="s">
        <v>33</v>
      </c>
      <c r="D138" s="39">
        <v>2.0</v>
      </c>
      <c r="E138" s="28"/>
      <c r="F138" s="28"/>
      <c r="G138" s="29"/>
      <c r="H138" s="2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9">
        <v>134.0</v>
      </c>
      <c r="B139" s="40" t="s">
        <v>160</v>
      </c>
      <c r="C139" s="41" t="s">
        <v>33</v>
      </c>
      <c r="D139" s="39">
        <v>2.0</v>
      </c>
      <c r="E139" s="28"/>
      <c r="F139" s="28"/>
      <c r="G139" s="29"/>
      <c r="H139" s="2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9">
        <v>135.0</v>
      </c>
      <c r="B140" s="40" t="s">
        <v>161</v>
      </c>
      <c r="C140" s="41" t="s">
        <v>33</v>
      </c>
      <c r="D140" s="39">
        <v>2.0</v>
      </c>
      <c r="E140" s="28"/>
      <c r="F140" s="28"/>
      <c r="G140" s="29"/>
      <c r="H140" s="2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9">
        <v>136.0</v>
      </c>
      <c r="B141" s="40" t="s">
        <v>162</v>
      </c>
      <c r="C141" s="41" t="s">
        <v>33</v>
      </c>
      <c r="D141" s="39">
        <v>2.0</v>
      </c>
      <c r="E141" s="28"/>
      <c r="F141" s="28"/>
      <c r="G141" s="29"/>
      <c r="H141" s="2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9">
        <v>137.0</v>
      </c>
      <c r="B142" s="40" t="s">
        <v>163</v>
      </c>
      <c r="C142" s="41" t="s">
        <v>33</v>
      </c>
      <c r="D142" s="39">
        <v>2.0</v>
      </c>
      <c r="E142" s="28"/>
      <c r="F142" s="28"/>
      <c r="G142" s="29"/>
      <c r="H142" s="2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9">
        <v>138.0</v>
      </c>
      <c r="B143" s="40" t="s">
        <v>164</v>
      </c>
      <c r="C143" s="41" t="s">
        <v>33</v>
      </c>
      <c r="D143" s="39">
        <v>2.0</v>
      </c>
      <c r="E143" s="28"/>
      <c r="F143" s="28"/>
      <c r="G143" s="29"/>
      <c r="H143" s="2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9">
        <v>139.0</v>
      </c>
      <c r="B144" s="40" t="s">
        <v>165</v>
      </c>
      <c r="C144" s="41" t="s">
        <v>33</v>
      </c>
      <c r="D144" s="39">
        <v>2.0</v>
      </c>
      <c r="E144" s="28"/>
      <c r="F144" s="28"/>
      <c r="G144" s="29"/>
      <c r="H144" s="2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9">
        <v>140.0</v>
      </c>
      <c r="B145" s="40" t="s">
        <v>166</v>
      </c>
      <c r="C145" s="41" t="s">
        <v>33</v>
      </c>
      <c r="D145" s="39">
        <v>2.0</v>
      </c>
      <c r="E145" s="28"/>
      <c r="F145" s="28"/>
      <c r="G145" s="29"/>
      <c r="H145" s="2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9">
        <v>141.0</v>
      </c>
      <c r="B146" s="40" t="s">
        <v>167</v>
      </c>
      <c r="C146" s="41" t="s">
        <v>33</v>
      </c>
      <c r="D146" s="39">
        <v>2.0</v>
      </c>
      <c r="E146" s="28"/>
      <c r="F146" s="28"/>
      <c r="G146" s="29"/>
      <c r="H146" s="2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9">
        <v>142.0</v>
      </c>
      <c r="B147" s="40" t="s">
        <v>168</v>
      </c>
      <c r="C147" s="41" t="s">
        <v>33</v>
      </c>
      <c r="D147" s="39">
        <v>2.0</v>
      </c>
      <c r="E147" s="28"/>
      <c r="F147" s="28"/>
      <c r="G147" s="29"/>
      <c r="H147" s="2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9">
        <v>143.0</v>
      </c>
      <c r="B148" s="40" t="s">
        <v>169</v>
      </c>
      <c r="C148" s="41" t="s">
        <v>33</v>
      </c>
      <c r="D148" s="39">
        <v>2.0</v>
      </c>
      <c r="E148" s="28"/>
      <c r="F148" s="28"/>
      <c r="G148" s="29"/>
      <c r="H148" s="2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9">
        <v>144.0</v>
      </c>
      <c r="B149" s="40" t="s">
        <v>170</v>
      </c>
      <c r="C149" s="41" t="s">
        <v>33</v>
      </c>
      <c r="D149" s="39">
        <v>2.0</v>
      </c>
      <c r="E149" s="28"/>
      <c r="F149" s="28"/>
      <c r="G149" s="29"/>
      <c r="H149" s="2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9">
        <v>145.0</v>
      </c>
      <c r="B150" s="40" t="s">
        <v>171</v>
      </c>
      <c r="C150" s="41" t="s">
        <v>33</v>
      </c>
      <c r="D150" s="39">
        <v>2.0</v>
      </c>
      <c r="E150" s="28"/>
      <c r="F150" s="28"/>
      <c r="G150" s="29"/>
      <c r="H150" s="2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9">
        <v>146.0</v>
      </c>
      <c r="B151" s="40" t="s">
        <v>172</v>
      </c>
      <c r="C151" s="41" t="s">
        <v>33</v>
      </c>
      <c r="D151" s="39">
        <v>2.0</v>
      </c>
      <c r="E151" s="28"/>
      <c r="F151" s="28"/>
      <c r="G151" s="29"/>
      <c r="H151" s="2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9">
        <v>147.0</v>
      </c>
      <c r="B152" s="40" t="s">
        <v>173</v>
      </c>
      <c r="C152" s="41" t="s">
        <v>33</v>
      </c>
      <c r="D152" s="39">
        <v>2.0</v>
      </c>
      <c r="E152" s="28"/>
      <c r="F152" s="28"/>
      <c r="G152" s="29"/>
      <c r="H152" s="2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9">
        <v>148.0</v>
      </c>
      <c r="B153" s="40" t="s">
        <v>174</v>
      </c>
      <c r="C153" s="41" t="s">
        <v>33</v>
      </c>
      <c r="D153" s="39">
        <v>2.0</v>
      </c>
      <c r="E153" s="28"/>
      <c r="F153" s="28"/>
      <c r="G153" s="29"/>
      <c r="H153" s="2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9">
        <v>149.0</v>
      </c>
      <c r="B154" s="40" t="s">
        <v>175</v>
      </c>
      <c r="C154" s="41" t="s">
        <v>33</v>
      </c>
      <c r="D154" s="39">
        <v>2.0</v>
      </c>
      <c r="E154" s="28"/>
      <c r="F154" s="28"/>
      <c r="G154" s="29"/>
      <c r="H154" s="2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9">
        <v>150.0</v>
      </c>
      <c r="B155" s="40" t="s">
        <v>176</v>
      </c>
      <c r="C155" s="41" t="s">
        <v>33</v>
      </c>
      <c r="D155" s="39">
        <v>2.0</v>
      </c>
      <c r="E155" s="28"/>
      <c r="F155" s="28"/>
      <c r="G155" s="29"/>
      <c r="H155" s="2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9">
        <v>151.0</v>
      </c>
      <c r="B156" s="40" t="s">
        <v>177</v>
      </c>
      <c r="C156" s="41" t="s">
        <v>33</v>
      </c>
      <c r="D156" s="39">
        <v>2.0</v>
      </c>
      <c r="E156" s="28"/>
      <c r="F156" s="28"/>
      <c r="G156" s="29"/>
      <c r="H156" s="2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9">
        <v>152.0</v>
      </c>
      <c r="B157" s="40" t="s">
        <v>178</v>
      </c>
      <c r="C157" s="41" t="s">
        <v>33</v>
      </c>
      <c r="D157" s="39">
        <v>2.0</v>
      </c>
      <c r="E157" s="28"/>
      <c r="F157" s="28"/>
      <c r="G157" s="29"/>
      <c r="H157" s="2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9">
        <v>153.0</v>
      </c>
      <c r="B158" s="40" t="s">
        <v>179</v>
      </c>
      <c r="C158" s="41" t="s">
        <v>33</v>
      </c>
      <c r="D158" s="39">
        <v>2.0</v>
      </c>
      <c r="E158" s="28"/>
      <c r="F158" s="28"/>
      <c r="G158" s="29"/>
      <c r="H158" s="2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9">
        <v>154.0</v>
      </c>
      <c r="B159" s="40" t="s">
        <v>180</v>
      </c>
      <c r="C159" s="41" t="s">
        <v>33</v>
      </c>
      <c r="D159" s="39">
        <v>2.0</v>
      </c>
      <c r="E159" s="28"/>
      <c r="F159" s="28"/>
      <c r="G159" s="29"/>
      <c r="H159" s="2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9">
        <v>155.0</v>
      </c>
      <c r="B160" s="40" t="s">
        <v>181</v>
      </c>
      <c r="C160" s="41" t="s">
        <v>33</v>
      </c>
      <c r="D160" s="39">
        <v>2.0</v>
      </c>
      <c r="E160" s="28"/>
      <c r="F160" s="28"/>
      <c r="G160" s="29"/>
      <c r="H160" s="2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9">
        <v>156.0</v>
      </c>
      <c r="B161" s="40" t="s">
        <v>182</v>
      </c>
      <c r="C161" s="41" t="s">
        <v>33</v>
      </c>
      <c r="D161" s="39">
        <v>2.0</v>
      </c>
      <c r="E161" s="28"/>
      <c r="F161" s="28"/>
      <c r="G161" s="29"/>
      <c r="H161" s="2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9">
        <v>157.0</v>
      </c>
      <c r="B162" s="40" t="s">
        <v>183</v>
      </c>
      <c r="C162" s="41" t="s">
        <v>33</v>
      </c>
      <c r="D162" s="39">
        <v>2.0</v>
      </c>
      <c r="E162" s="28"/>
      <c r="F162" s="28"/>
      <c r="G162" s="29"/>
      <c r="H162" s="2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9">
        <v>158.0</v>
      </c>
      <c r="B163" s="40" t="s">
        <v>184</v>
      </c>
      <c r="C163" s="41" t="s">
        <v>33</v>
      </c>
      <c r="D163" s="39">
        <v>2.0</v>
      </c>
      <c r="E163" s="28"/>
      <c r="F163" s="28"/>
      <c r="G163" s="29"/>
      <c r="H163" s="2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9">
        <v>159.0</v>
      </c>
      <c r="B164" s="40" t="s">
        <v>185</v>
      </c>
      <c r="C164" s="41" t="s">
        <v>33</v>
      </c>
      <c r="D164" s="39">
        <v>2.0</v>
      </c>
      <c r="E164" s="28"/>
      <c r="F164" s="28"/>
      <c r="G164" s="29"/>
      <c r="H164" s="2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9">
        <v>160.0</v>
      </c>
      <c r="B165" s="40" t="s">
        <v>186</v>
      </c>
      <c r="C165" s="41" t="s">
        <v>33</v>
      </c>
      <c r="D165" s="39">
        <v>2.0</v>
      </c>
      <c r="E165" s="28"/>
      <c r="F165" s="28"/>
      <c r="G165" s="29"/>
      <c r="H165" s="2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9">
        <v>161.0</v>
      </c>
      <c r="B166" s="40" t="s">
        <v>187</v>
      </c>
      <c r="C166" s="41" t="s">
        <v>33</v>
      </c>
      <c r="D166" s="39">
        <v>2.0</v>
      </c>
      <c r="E166" s="28"/>
      <c r="F166" s="28"/>
      <c r="G166" s="29"/>
      <c r="H166" s="2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9">
        <v>162.0</v>
      </c>
      <c r="B167" s="40" t="s">
        <v>188</v>
      </c>
      <c r="C167" s="41" t="s">
        <v>33</v>
      </c>
      <c r="D167" s="39">
        <v>2.0</v>
      </c>
      <c r="E167" s="28"/>
      <c r="F167" s="28"/>
      <c r="G167" s="29"/>
      <c r="H167" s="2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9">
        <v>163.0</v>
      </c>
      <c r="B168" s="40" t="s">
        <v>189</v>
      </c>
      <c r="C168" s="41" t="s">
        <v>33</v>
      </c>
      <c r="D168" s="39">
        <v>2.0</v>
      </c>
      <c r="E168" s="28"/>
      <c r="F168" s="28"/>
      <c r="G168" s="29"/>
      <c r="H168" s="2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9">
        <v>164.0</v>
      </c>
      <c r="B169" s="40" t="s">
        <v>190</v>
      </c>
      <c r="C169" s="41" t="s">
        <v>33</v>
      </c>
      <c r="D169" s="39">
        <v>2.0</v>
      </c>
      <c r="E169" s="28"/>
      <c r="F169" s="28"/>
      <c r="G169" s="29"/>
      <c r="H169" s="2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9">
        <v>165.0</v>
      </c>
      <c r="B170" s="40" t="s">
        <v>191</v>
      </c>
      <c r="C170" s="41" t="s">
        <v>33</v>
      </c>
      <c r="D170" s="39">
        <v>2.0</v>
      </c>
      <c r="E170" s="28"/>
      <c r="F170" s="28"/>
      <c r="G170" s="29"/>
      <c r="H170" s="2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9">
        <v>166.0</v>
      </c>
      <c r="B171" s="40" t="s">
        <v>192</v>
      </c>
      <c r="C171" s="41" t="s">
        <v>33</v>
      </c>
      <c r="D171" s="39">
        <v>2.0</v>
      </c>
      <c r="E171" s="28"/>
      <c r="F171" s="28"/>
      <c r="G171" s="29"/>
      <c r="H171" s="2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9">
        <v>167.0</v>
      </c>
      <c r="B172" s="40" t="s">
        <v>193</v>
      </c>
      <c r="C172" s="41" t="s">
        <v>33</v>
      </c>
      <c r="D172" s="39">
        <v>2.0</v>
      </c>
      <c r="E172" s="28"/>
      <c r="F172" s="28"/>
      <c r="G172" s="29"/>
      <c r="H172" s="2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9">
        <v>168.0</v>
      </c>
      <c r="B173" s="40" t="s">
        <v>194</v>
      </c>
      <c r="C173" s="41" t="s">
        <v>33</v>
      </c>
      <c r="D173" s="39">
        <v>2.0</v>
      </c>
      <c r="E173" s="28"/>
      <c r="F173" s="28"/>
      <c r="G173" s="29"/>
      <c r="H173" s="2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9">
        <v>169.0</v>
      </c>
      <c r="B174" s="40" t="s">
        <v>195</v>
      </c>
      <c r="C174" s="41" t="s">
        <v>33</v>
      </c>
      <c r="D174" s="39">
        <v>2.0</v>
      </c>
      <c r="E174" s="28"/>
      <c r="F174" s="28"/>
      <c r="G174" s="29"/>
      <c r="H174" s="2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9">
        <v>170.0</v>
      </c>
      <c r="B175" s="40" t="s">
        <v>196</v>
      </c>
      <c r="C175" s="41" t="s">
        <v>33</v>
      </c>
      <c r="D175" s="39">
        <v>2.0</v>
      </c>
      <c r="E175" s="28"/>
      <c r="F175" s="28"/>
      <c r="G175" s="29"/>
      <c r="H175" s="2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9">
        <v>171.0</v>
      </c>
      <c r="B176" s="40" t="s">
        <v>197</v>
      </c>
      <c r="C176" s="41" t="s">
        <v>33</v>
      </c>
      <c r="D176" s="39">
        <v>2.0</v>
      </c>
      <c r="E176" s="28"/>
      <c r="F176" s="28"/>
      <c r="G176" s="29"/>
      <c r="H176" s="2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9">
        <v>172.0</v>
      </c>
      <c r="B177" s="40" t="s">
        <v>198</v>
      </c>
      <c r="C177" s="41" t="s">
        <v>33</v>
      </c>
      <c r="D177" s="39">
        <v>2.0</v>
      </c>
      <c r="E177" s="28"/>
      <c r="F177" s="28"/>
      <c r="G177" s="29"/>
      <c r="H177" s="2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9">
        <v>173.0</v>
      </c>
      <c r="B178" s="40" t="s">
        <v>199</v>
      </c>
      <c r="C178" s="41" t="s">
        <v>33</v>
      </c>
      <c r="D178" s="39">
        <v>2.0</v>
      </c>
      <c r="E178" s="28"/>
      <c r="F178" s="28"/>
      <c r="G178" s="29"/>
      <c r="H178" s="2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9">
        <v>174.0</v>
      </c>
      <c r="B179" s="40" t="s">
        <v>200</v>
      </c>
      <c r="C179" s="41" t="s">
        <v>33</v>
      </c>
      <c r="D179" s="39">
        <v>2.0</v>
      </c>
      <c r="E179" s="28"/>
      <c r="F179" s="28"/>
      <c r="G179" s="29"/>
      <c r="H179" s="2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9">
        <v>175.0</v>
      </c>
      <c r="B180" s="40" t="s">
        <v>201</v>
      </c>
      <c r="C180" s="41" t="s">
        <v>33</v>
      </c>
      <c r="D180" s="39">
        <v>2.0</v>
      </c>
      <c r="E180" s="28"/>
      <c r="F180" s="28"/>
      <c r="G180" s="29"/>
      <c r="H180" s="2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9">
        <v>176.0</v>
      </c>
      <c r="B181" s="40" t="s">
        <v>202</v>
      </c>
      <c r="C181" s="41" t="s">
        <v>33</v>
      </c>
      <c r="D181" s="39">
        <v>2.0</v>
      </c>
      <c r="E181" s="28"/>
      <c r="F181" s="28"/>
      <c r="G181" s="29"/>
      <c r="H181" s="2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9">
        <v>177.0</v>
      </c>
      <c r="B182" s="40" t="s">
        <v>203</v>
      </c>
      <c r="C182" s="41" t="s">
        <v>33</v>
      </c>
      <c r="D182" s="39">
        <v>2.0</v>
      </c>
      <c r="E182" s="28"/>
      <c r="F182" s="28"/>
      <c r="G182" s="29"/>
      <c r="H182" s="2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9">
        <v>178.0</v>
      </c>
      <c r="B183" s="40" t="s">
        <v>204</v>
      </c>
      <c r="C183" s="41" t="s">
        <v>33</v>
      </c>
      <c r="D183" s="39">
        <v>2.0</v>
      </c>
      <c r="E183" s="28"/>
      <c r="F183" s="28"/>
      <c r="G183" s="29"/>
      <c r="H183" s="2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9">
        <v>179.0</v>
      </c>
      <c r="B184" s="40" t="s">
        <v>205</v>
      </c>
      <c r="C184" s="41" t="s">
        <v>33</v>
      </c>
      <c r="D184" s="39">
        <v>2.0</v>
      </c>
      <c r="E184" s="28"/>
      <c r="F184" s="28"/>
      <c r="G184" s="29"/>
      <c r="H184" s="2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9">
        <v>180.0</v>
      </c>
      <c r="B185" s="40" t="s">
        <v>206</v>
      </c>
      <c r="C185" s="41" t="s">
        <v>33</v>
      </c>
      <c r="D185" s="39">
        <v>2.0</v>
      </c>
      <c r="E185" s="28"/>
      <c r="F185" s="28"/>
      <c r="G185" s="29"/>
      <c r="H185" s="2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9">
        <v>181.0</v>
      </c>
      <c r="B186" s="40" t="s">
        <v>207</v>
      </c>
      <c r="C186" s="41" t="s">
        <v>33</v>
      </c>
      <c r="D186" s="39">
        <v>2.0</v>
      </c>
      <c r="E186" s="28"/>
      <c r="F186" s="28"/>
      <c r="G186" s="29"/>
      <c r="H186" s="2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9">
        <v>182.0</v>
      </c>
      <c r="B187" s="40" t="s">
        <v>208</v>
      </c>
      <c r="C187" s="41" t="s">
        <v>33</v>
      </c>
      <c r="D187" s="39">
        <v>2.0</v>
      </c>
      <c r="E187" s="28"/>
      <c r="F187" s="28"/>
      <c r="G187" s="29"/>
      <c r="H187" s="2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9">
        <v>183.0</v>
      </c>
      <c r="B188" s="40" t="s">
        <v>209</v>
      </c>
      <c r="C188" s="41" t="s">
        <v>33</v>
      </c>
      <c r="D188" s="39">
        <v>2.0</v>
      </c>
      <c r="E188" s="28"/>
      <c r="F188" s="28"/>
      <c r="G188" s="29"/>
      <c r="H188" s="2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9">
        <v>184.0</v>
      </c>
      <c r="B189" s="40" t="s">
        <v>210</v>
      </c>
      <c r="C189" s="41" t="s">
        <v>33</v>
      </c>
      <c r="D189" s="39">
        <v>2.0</v>
      </c>
      <c r="E189" s="28"/>
      <c r="F189" s="28"/>
      <c r="G189" s="29"/>
      <c r="H189" s="2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9">
        <v>185.0</v>
      </c>
      <c r="B190" s="40" t="s">
        <v>211</v>
      </c>
      <c r="C190" s="41" t="s">
        <v>33</v>
      </c>
      <c r="D190" s="39">
        <v>2.0</v>
      </c>
      <c r="E190" s="28"/>
      <c r="F190" s="28"/>
      <c r="G190" s="29"/>
      <c r="H190" s="2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9">
        <v>186.0</v>
      </c>
      <c r="B191" s="40" t="s">
        <v>212</v>
      </c>
      <c r="C191" s="41" t="s">
        <v>33</v>
      </c>
      <c r="D191" s="39">
        <v>2.0</v>
      </c>
      <c r="E191" s="28"/>
      <c r="F191" s="28"/>
      <c r="G191" s="29"/>
      <c r="H191" s="2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9">
        <v>187.0</v>
      </c>
      <c r="B192" s="40" t="s">
        <v>213</v>
      </c>
      <c r="C192" s="41" t="s">
        <v>33</v>
      </c>
      <c r="D192" s="39">
        <v>2.0</v>
      </c>
      <c r="E192" s="28"/>
      <c r="F192" s="28"/>
      <c r="G192" s="29"/>
      <c r="H192" s="2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9">
        <v>188.0</v>
      </c>
      <c r="B193" s="40" t="s">
        <v>214</v>
      </c>
      <c r="C193" s="41" t="s">
        <v>33</v>
      </c>
      <c r="D193" s="39">
        <v>2.0</v>
      </c>
      <c r="E193" s="28"/>
      <c r="F193" s="28"/>
      <c r="G193" s="29"/>
      <c r="H193" s="2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9">
        <v>189.0</v>
      </c>
      <c r="B194" s="40" t="s">
        <v>215</v>
      </c>
      <c r="C194" s="41" t="s">
        <v>33</v>
      </c>
      <c r="D194" s="39">
        <v>2.0</v>
      </c>
      <c r="E194" s="28"/>
      <c r="F194" s="28"/>
      <c r="G194" s="29"/>
      <c r="H194" s="2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9">
        <v>190.0</v>
      </c>
      <c r="B195" s="40" t="s">
        <v>216</v>
      </c>
      <c r="C195" s="41" t="s">
        <v>33</v>
      </c>
      <c r="D195" s="39">
        <v>2.0</v>
      </c>
      <c r="E195" s="28"/>
      <c r="F195" s="28"/>
      <c r="G195" s="29"/>
      <c r="H195" s="2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9">
        <v>191.0</v>
      </c>
      <c r="B196" s="40" t="s">
        <v>217</v>
      </c>
      <c r="C196" s="41" t="s">
        <v>33</v>
      </c>
      <c r="D196" s="39">
        <v>2.0</v>
      </c>
      <c r="E196" s="28"/>
      <c r="F196" s="28"/>
      <c r="G196" s="29"/>
      <c r="H196" s="2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9">
        <v>192.0</v>
      </c>
      <c r="B197" s="40" t="s">
        <v>218</v>
      </c>
      <c r="C197" s="41" t="s">
        <v>33</v>
      </c>
      <c r="D197" s="39">
        <v>2.0</v>
      </c>
      <c r="E197" s="28"/>
      <c r="F197" s="28"/>
      <c r="G197" s="29"/>
      <c r="H197" s="2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9">
        <v>193.0</v>
      </c>
      <c r="B198" s="40" t="s">
        <v>219</v>
      </c>
      <c r="C198" s="41" t="s">
        <v>33</v>
      </c>
      <c r="D198" s="39">
        <v>2.0</v>
      </c>
      <c r="E198" s="28"/>
      <c r="F198" s="28"/>
      <c r="G198" s="29"/>
      <c r="H198" s="2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9">
        <v>194.0</v>
      </c>
      <c r="B199" s="40" t="s">
        <v>220</v>
      </c>
      <c r="C199" s="41" t="s">
        <v>33</v>
      </c>
      <c r="D199" s="39">
        <v>2.0</v>
      </c>
      <c r="E199" s="28"/>
      <c r="F199" s="28"/>
      <c r="G199" s="29"/>
      <c r="H199" s="2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9">
        <v>195.0</v>
      </c>
      <c r="B200" s="40" t="s">
        <v>221</v>
      </c>
      <c r="C200" s="41" t="s">
        <v>33</v>
      </c>
      <c r="D200" s="39">
        <v>2.0</v>
      </c>
      <c r="E200" s="28"/>
      <c r="F200" s="28"/>
      <c r="G200" s="29"/>
      <c r="H200" s="2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9">
        <v>196.0</v>
      </c>
      <c r="B201" s="40" t="s">
        <v>222</v>
      </c>
      <c r="C201" s="41" t="s">
        <v>33</v>
      </c>
      <c r="D201" s="39">
        <v>2.0</v>
      </c>
      <c r="E201" s="28"/>
      <c r="F201" s="28"/>
      <c r="G201" s="29"/>
      <c r="H201" s="2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9">
        <v>197.0</v>
      </c>
      <c r="B202" s="40" t="s">
        <v>223</v>
      </c>
      <c r="C202" s="41" t="s">
        <v>33</v>
      </c>
      <c r="D202" s="39">
        <v>2.0</v>
      </c>
      <c r="E202" s="28"/>
      <c r="F202" s="28"/>
      <c r="G202" s="29"/>
      <c r="H202" s="2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9">
        <v>198.0</v>
      </c>
      <c r="B203" s="40" t="s">
        <v>224</v>
      </c>
      <c r="C203" s="41" t="s">
        <v>33</v>
      </c>
      <c r="D203" s="39">
        <v>2.0</v>
      </c>
      <c r="E203" s="28"/>
      <c r="F203" s="28"/>
      <c r="G203" s="29"/>
      <c r="H203" s="2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9">
        <v>199.0</v>
      </c>
      <c r="B204" s="40" t="s">
        <v>225</v>
      </c>
      <c r="C204" s="41" t="s">
        <v>33</v>
      </c>
      <c r="D204" s="39">
        <v>2.0</v>
      </c>
      <c r="E204" s="28"/>
      <c r="F204" s="28"/>
      <c r="G204" s="29"/>
      <c r="H204" s="2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9">
        <v>200.0</v>
      </c>
      <c r="B205" s="40" t="s">
        <v>226</v>
      </c>
      <c r="C205" s="41" t="s">
        <v>33</v>
      </c>
      <c r="D205" s="39">
        <v>2.0</v>
      </c>
      <c r="E205" s="28"/>
      <c r="F205" s="28"/>
      <c r="G205" s="29"/>
      <c r="H205" s="2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9">
        <v>201.0</v>
      </c>
      <c r="B206" s="40" t="s">
        <v>227</v>
      </c>
      <c r="C206" s="41" t="s">
        <v>33</v>
      </c>
      <c r="D206" s="39">
        <v>2.0</v>
      </c>
      <c r="E206" s="28"/>
      <c r="F206" s="28"/>
      <c r="G206" s="29"/>
      <c r="H206" s="2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9">
        <v>202.0</v>
      </c>
      <c r="B207" s="40" t="s">
        <v>228</v>
      </c>
      <c r="C207" s="41" t="s">
        <v>33</v>
      </c>
      <c r="D207" s="39">
        <v>2.0</v>
      </c>
      <c r="E207" s="28"/>
      <c r="F207" s="28"/>
      <c r="G207" s="29"/>
      <c r="H207" s="2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9">
        <v>203.0</v>
      </c>
      <c r="B208" s="40" t="s">
        <v>229</v>
      </c>
      <c r="C208" s="41" t="s">
        <v>24</v>
      </c>
      <c r="D208" s="39">
        <v>3.0</v>
      </c>
      <c r="E208" s="28"/>
      <c r="F208" s="28"/>
      <c r="G208" s="29"/>
      <c r="H208" s="2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9">
        <v>204.0</v>
      </c>
      <c r="B209" s="40" t="s">
        <v>230</v>
      </c>
      <c r="C209" s="41" t="s">
        <v>31</v>
      </c>
      <c r="D209" s="39">
        <v>3.0</v>
      </c>
      <c r="E209" s="28"/>
      <c r="F209" s="28"/>
      <c r="G209" s="29"/>
      <c r="H209" s="2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9">
        <v>205.0</v>
      </c>
      <c r="B210" s="40" t="s">
        <v>231</v>
      </c>
      <c r="C210" s="41" t="s">
        <v>33</v>
      </c>
      <c r="D210" s="39">
        <v>3.0</v>
      </c>
      <c r="E210" s="28"/>
      <c r="F210" s="28"/>
      <c r="G210" s="29"/>
      <c r="H210" s="2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9">
        <v>206.0</v>
      </c>
      <c r="B211" s="40" t="s">
        <v>232</v>
      </c>
      <c r="C211" s="41" t="s">
        <v>33</v>
      </c>
      <c r="D211" s="39">
        <v>3.0</v>
      </c>
      <c r="E211" s="28"/>
      <c r="F211" s="28"/>
      <c r="G211" s="29"/>
      <c r="H211" s="2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9">
        <v>207.0</v>
      </c>
      <c r="B212" s="40" t="s">
        <v>233</v>
      </c>
      <c r="C212" s="41" t="s">
        <v>33</v>
      </c>
      <c r="D212" s="39">
        <v>3.0</v>
      </c>
      <c r="E212" s="28"/>
      <c r="F212" s="28"/>
      <c r="G212" s="29"/>
      <c r="H212" s="2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9">
        <v>208.0</v>
      </c>
      <c r="B213" s="40" t="s">
        <v>234</v>
      </c>
      <c r="C213" s="41" t="s">
        <v>33</v>
      </c>
      <c r="D213" s="39">
        <v>3.0</v>
      </c>
      <c r="E213" s="28"/>
      <c r="F213" s="28"/>
      <c r="G213" s="29"/>
      <c r="H213" s="2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9">
        <v>209.0</v>
      </c>
      <c r="B214" s="40" t="s">
        <v>235</v>
      </c>
      <c r="C214" s="41" t="s">
        <v>33</v>
      </c>
      <c r="D214" s="39">
        <v>3.0</v>
      </c>
      <c r="E214" s="28"/>
      <c r="F214" s="28"/>
      <c r="G214" s="29"/>
      <c r="H214" s="2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9">
        <v>210.0</v>
      </c>
      <c r="B215" s="40" t="s">
        <v>236</v>
      </c>
      <c r="C215" s="41" t="s">
        <v>33</v>
      </c>
      <c r="D215" s="39">
        <v>3.0</v>
      </c>
      <c r="E215" s="28"/>
      <c r="F215" s="28"/>
      <c r="G215" s="29"/>
      <c r="H215" s="2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9">
        <v>211.0</v>
      </c>
      <c r="B216" s="40" t="s">
        <v>237</v>
      </c>
      <c r="C216" s="41" t="s">
        <v>33</v>
      </c>
      <c r="D216" s="39">
        <v>3.0</v>
      </c>
      <c r="E216" s="28"/>
      <c r="F216" s="28"/>
      <c r="G216" s="29"/>
      <c r="H216" s="2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9">
        <v>212.0</v>
      </c>
      <c r="B217" s="40" t="s">
        <v>238</v>
      </c>
      <c r="C217" s="41" t="s">
        <v>33</v>
      </c>
      <c r="D217" s="39">
        <v>3.0</v>
      </c>
      <c r="E217" s="28"/>
      <c r="F217" s="28"/>
      <c r="G217" s="29"/>
      <c r="H217" s="2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9">
        <v>213.0</v>
      </c>
      <c r="B218" s="40" t="s">
        <v>239</v>
      </c>
      <c r="C218" s="41" t="s">
        <v>33</v>
      </c>
      <c r="D218" s="39">
        <v>3.0</v>
      </c>
      <c r="E218" s="28"/>
      <c r="F218" s="28"/>
      <c r="G218" s="29"/>
      <c r="H218" s="2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9">
        <v>214.0</v>
      </c>
      <c r="B219" s="40" t="s">
        <v>240</v>
      </c>
      <c r="C219" s="41" t="s">
        <v>33</v>
      </c>
      <c r="D219" s="39">
        <v>3.0</v>
      </c>
      <c r="E219" s="28"/>
      <c r="F219" s="28"/>
      <c r="G219" s="29"/>
      <c r="H219" s="2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9">
        <v>215.0</v>
      </c>
      <c r="B220" s="40" t="s">
        <v>241</v>
      </c>
      <c r="C220" s="41" t="s">
        <v>33</v>
      </c>
      <c r="D220" s="39">
        <v>3.0</v>
      </c>
      <c r="E220" s="28"/>
      <c r="F220" s="28"/>
      <c r="G220" s="29"/>
      <c r="H220" s="2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9">
        <v>216.0</v>
      </c>
      <c r="B221" s="40" t="s">
        <v>242</v>
      </c>
      <c r="C221" s="41" t="s">
        <v>33</v>
      </c>
      <c r="D221" s="39">
        <v>3.0</v>
      </c>
      <c r="E221" s="28"/>
      <c r="F221" s="28"/>
      <c r="G221" s="29"/>
      <c r="H221" s="2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9">
        <v>217.0</v>
      </c>
      <c r="B222" s="40" t="s">
        <v>243</v>
      </c>
      <c r="C222" s="41" t="s">
        <v>33</v>
      </c>
      <c r="D222" s="39">
        <v>3.0</v>
      </c>
      <c r="E222" s="28"/>
      <c r="F222" s="28"/>
      <c r="G222" s="29"/>
      <c r="H222" s="2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9">
        <v>218.0</v>
      </c>
      <c r="B223" s="40" t="s">
        <v>244</v>
      </c>
      <c r="C223" s="41" t="s">
        <v>33</v>
      </c>
      <c r="D223" s="39">
        <v>3.0</v>
      </c>
      <c r="E223" s="28"/>
      <c r="F223" s="28"/>
      <c r="G223" s="29"/>
      <c r="H223" s="2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9">
        <v>219.0</v>
      </c>
      <c r="B224" s="40" t="s">
        <v>245</v>
      </c>
      <c r="C224" s="41" t="s">
        <v>33</v>
      </c>
      <c r="D224" s="39">
        <v>3.0</v>
      </c>
      <c r="E224" s="28"/>
      <c r="F224" s="28"/>
      <c r="G224" s="29"/>
      <c r="H224" s="2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9">
        <v>220.0</v>
      </c>
      <c r="B225" s="40" t="s">
        <v>246</v>
      </c>
      <c r="C225" s="41" t="s">
        <v>33</v>
      </c>
      <c r="D225" s="39">
        <v>3.0</v>
      </c>
      <c r="E225" s="28"/>
      <c r="F225" s="28"/>
      <c r="G225" s="29"/>
      <c r="H225" s="2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9">
        <v>221.0</v>
      </c>
      <c r="B226" s="40" t="s">
        <v>247</v>
      </c>
      <c r="C226" s="41" t="s">
        <v>33</v>
      </c>
      <c r="D226" s="39">
        <v>3.0</v>
      </c>
      <c r="E226" s="28"/>
      <c r="F226" s="28"/>
      <c r="G226" s="29"/>
      <c r="H226" s="2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9">
        <v>222.0</v>
      </c>
      <c r="B227" s="40" t="s">
        <v>248</v>
      </c>
      <c r="C227" s="41" t="s">
        <v>33</v>
      </c>
      <c r="D227" s="39">
        <v>3.0</v>
      </c>
      <c r="E227" s="28"/>
      <c r="F227" s="28"/>
      <c r="G227" s="29"/>
      <c r="H227" s="2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9">
        <v>223.0</v>
      </c>
      <c r="B228" s="40" t="s">
        <v>249</v>
      </c>
      <c r="C228" s="41" t="s">
        <v>33</v>
      </c>
      <c r="D228" s="39">
        <v>3.0</v>
      </c>
      <c r="E228" s="28"/>
      <c r="F228" s="28"/>
      <c r="G228" s="29"/>
      <c r="H228" s="2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9">
        <v>224.0</v>
      </c>
      <c r="B229" s="40" t="s">
        <v>250</v>
      </c>
      <c r="C229" s="41" t="s">
        <v>33</v>
      </c>
      <c r="D229" s="39">
        <v>3.0</v>
      </c>
      <c r="E229" s="28"/>
      <c r="F229" s="28"/>
      <c r="G229" s="29"/>
      <c r="H229" s="2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9">
        <v>225.0</v>
      </c>
      <c r="B230" s="40" t="s">
        <v>251</v>
      </c>
      <c r="C230" s="41" t="s">
        <v>33</v>
      </c>
      <c r="D230" s="39">
        <v>3.0</v>
      </c>
      <c r="E230" s="28"/>
      <c r="F230" s="28"/>
      <c r="G230" s="29"/>
      <c r="H230" s="2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9">
        <v>226.0</v>
      </c>
      <c r="B231" s="40" t="s">
        <v>252</v>
      </c>
      <c r="C231" s="41" t="s">
        <v>33</v>
      </c>
      <c r="D231" s="39">
        <v>3.0</v>
      </c>
      <c r="E231" s="28"/>
      <c r="F231" s="28"/>
      <c r="G231" s="29"/>
      <c r="H231" s="2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9">
        <v>227.0</v>
      </c>
      <c r="B232" s="40" t="s">
        <v>253</v>
      </c>
      <c r="C232" s="41" t="s">
        <v>33</v>
      </c>
      <c r="D232" s="39">
        <v>3.0</v>
      </c>
      <c r="E232" s="28"/>
      <c r="F232" s="28"/>
      <c r="G232" s="29"/>
      <c r="H232" s="2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9">
        <v>228.0</v>
      </c>
      <c r="B233" s="40" t="s">
        <v>254</v>
      </c>
      <c r="C233" s="41" t="s">
        <v>33</v>
      </c>
      <c r="D233" s="39">
        <v>3.0</v>
      </c>
      <c r="E233" s="28"/>
      <c r="F233" s="28"/>
      <c r="G233" s="29"/>
      <c r="H233" s="2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9">
        <v>229.0</v>
      </c>
      <c r="B234" s="40" t="s">
        <v>255</v>
      </c>
      <c r="C234" s="41" t="s">
        <v>33</v>
      </c>
      <c r="D234" s="39">
        <v>3.0</v>
      </c>
      <c r="E234" s="28"/>
      <c r="F234" s="28"/>
      <c r="G234" s="29"/>
      <c r="H234" s="2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9">
        <v>230.0</v>
      </c>
      <c r="B235" s="40" t="s">
        <v>256</v>
      </c>
      <c r="C235" s="41" t="s">
        <v>33</v>
      </c>
      <c r="D235" s="39">
        <v>3.0</v>
      </c>
      <c r="E235" s="28"/>
      <c r="F235" s="28"/>
      <c r="G235" s="29"/>
      <c r="H235" s="2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9">
        <v>231.0</v>
      </c>
      <c r="B236" s="40" t="s">
        <v>257</v>
      </c>
      <c r="C236" s="41" t="s">
        <v>33</v>
      </c>
      <c r="D236" s="39">
        <v>3.0</v>
      </c>
      <c r="E236" s="28"/>
      <c r="F236" s="28"/>
      <c r="G236" s="29"/>
      <c r="H236" s="2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9">
        <v>232.0</v>
      </c>
      <c r="B237" s="40" t="s">
        <v>258</v>
      </c>
      <c r="C237" s="41" t="s">
        <v>33</v>
      </c>
      <c r="D237" s="39">
        <v>3.0</v>
      </c>
      <c r="E237" s="28"/>
      <c r="F237" s="28"/>
      <c r="G237" s="29"/>
      <c r="H237" s="2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9">
        <v>233.0</v>
      </c>
      <c r="B238" s="40" t="s">
        <v>259</v>
      </c>
      <c r="C238" s="41" t="s">
        <v>33</v>
      </c>
      <c r="D238" s="39">
        <v>3.0</v>
      </c>
      <c r="E238" s="28"/>
      <c r="F238" s="28"/>
      <c r="G238" s="29"/>
      <c r="H238" s="2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9">
        <v>234.0</v>
      </c>
      <c r="B239" s="40" t="s">
        <v>260</v>
      </c>
      <c r="C239" s="41" t="s">
        <v>33</v>
      </c>
      <c r="D239" s="39">
        <v>3.0</v>
      </c>
      <c r="E239" s="28"/>
      <c r="F239" s="28"/>
      <c r="G239" s="29"/>
      <c r="H239" s="2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9">
        <v>235.0</v>
      </c>
      <c r="B240" s="40" t="s">
        <v>261</v>
      </c>
      <c r="C240" s="41" t="s">
        <v>33</v>
      </c>
      <c r="D240" s="39">
        <v>3.0</v>
      </c>
      <c r="E240" s="28"/>
      <c r="F240" s="28"/>
      <c r="G240" s="29"/>
      <c r="H240" s="2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9">
        <v>236.0</v>
      </c>
      <c r="B241" s="40" t="s">
        <v>262</v>
      </c>
      <c r="C241" s="41" t="s">
        <v>33</v>
      </c>
      <c r="D241" s="39">
        <v>3.0</v>
      </c>
      <c r="E241" s="28"/>
      <c r="F241" s="28"/>
      <c r="G241" s="29"/>
      <c r="H241" s="2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9">
        <v>237.0</v>
      </c>
      <c r="B242" s="40" t="s">
        <v>263</v>
      </c>
      <c r="C242" s="41" t="s">
        <v>33</v>
      </c>
      <c r="D242" s="39">
        <v>3.0</v>
      </c>
      <c r="E242" s="28"/>
      <c r="F242" s="28"/>
      <c r="G242" s="29"/>
      <c r="H242" s="2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9">
        <v>238.0</v>
      </c>
      <c r="B243" s="40" t="s">
        <v>264</v>
      </c>
      <c r="C243" s="41" t="s">
        <v>33</v>
      </c>
      <c r="D243" s="39">
        <v>3.0</v>
      </c>
      <c r="E243" s="28"/>
      <c r="F243" s="28"/>
      <c r="G243" s="29"/>
      <c r="H243" s="2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9">
        <v>239.0</v>
      </c>
      <c r="B244" s="40" t="s">
        <v>265</v>
      </c>
      <c r="C244" s="41" t="s">
        <v>33</v>
      </c>
      <c r="D244" s="39">
        <v>3.0</v>
      </c>
      <c r="E244" s="28"/>
      <c r="F244" s="28"/>
      <c r="G244" s="29"/>
      <c r="H244" s="2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9">
        <v>240.0</v>
      </c>
      <c r="B245" s="40" t="s">
        <v>266</v>
      </c>
      <c r="C245" s="41" t="s">
        <v>33</v>
      </c>
      <c r="D245" s="39">
        <v>3.0</v>
      </c>
      <c r="E245" s="28"/>
      <c r="F245" s="28"/>
      <c r="G245" s="29"/>
      <c r="H245" s="2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9">
        <v>241.0</v>
      </c>
      <c r="B246" s="40" t="s">
        <v>267</v>
      </c>
      <c r="C246" s="41" t="s">
        <v>33</v>
      </c>
      <c r="D246" s="39">
        <v>3.0</v>
      </c>
      <c r="E246" s="28"/>
      <c r="F246" s="28"/>
      <c r="G246" s="29"/>
      <c r="H246" s="2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9">
        <v>242.0</v>
      </c>
      <c r="B247" s="40" t="s">
        <v>268</v>
      </c>
      <c r="C247" s="41" t="s">
        <v>33</v>
      </c>
      <c r="D247" s="39">
        <v>3.0</v>
      </c>
      <c r="E247" s="28"/>
      <c r="F247" s="28"/>
      <c r="G247" s="29"/>
      <c r="H247" s="2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9">
        <v>243.0</v>
      </c>
      <c r="B248" s="40" t="s">
        <v>269</v>
      </c>
      <c r="C248" s="41" t="s">
        <v>33</v>
      </c>
      <c r="D248" s="39">
        <v>3.0</v>
      </c>
      <c r="E248" s="28"/>
      <c r="F248" s="28"/>
      <c r="G248" s="29"/>
      <c r="H248" s="2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9">
        <v>244.0</v>
      </c>
      <c r="B249" s="40" t="s">
        <v>270</v>
      </c>
      <c r="C249" s="41" t="s">
        <v>24</v>
      </c>
      <c r="D249" s="39">
        <v>4.0</v>
      </c>
      <c r="E249" s="28"/>
      <c r="F249" s="28"/>
      <c r="G249" s="29"/>
      <c r="H249" s="2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9">
        <v>245.0</v>
      </c>
      <c r="B250" s="40" t="s">
        <v>271</v>
      </c>
      <c r="C250" s="41" t="s">
        <v>24</v>
      </c>
      <c r="D250" s="39">
        <v>4.0</v>
      </c>
      <c r="E250" s="28"/>
      <c r="F250" s="28"/>
      <c r="G250" s="29"/>
      <c r="H250" s="2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9">
        <v>246.0</v>
      </c>
      <c r="B251" s="40" t="s">
        <v>272</v>
      </c>
      <c r="C251" s="41" t="s">
        <v>24</v>
      </c>
      <c r="D251" s="39">
        <v>4.0</v>
      </c>
      <c r="E251" s="28"/>
      <c r="F251" s="28"/>
      <c r="G251" s="29"/>
      <c r="H251" s="2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9">
        <v>247.0</v>
      </c>
      <c r="B252" s="40" t="s">
        <v>273</v>
      </c>
      <c r="C252" s="41" t="s">
        <v>24</v>
      </c>
      <c r="D252" s="39">
        <v>4.0</v>
      </c>
      <c r="E252" s="28"/>
      <c r="F252" s="28"/>
      <c r="G252" s="29"/>
      <c r="H252" s="2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9">
        <v>248.0</v>
      </c>
      <c r="B253" s="40" t="s">
        <v>274</v>
      </c>
      <c r="C253" s="41" t="s">
        <v>24</v>
      </c>
      <c r="D253" s="39">
        <v>4.0</v>
      </c>
      <c r="E253" s="28"/>
      <c r="F253" s="28"/>
      <c r="G253" s="29"/>
      <c r="H253" s="2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9">
        <v>249.0</v>
      </c>
      <c r="B254" s="40" t="s">
        <v>275</v>
      </c>
      <c r="C254" s="41" t="s">
        <v>24</v>
      </c>
      <c r="D254" s="39">
        <v>4.0</v>
      </c>
      <c r="E254" s="28"/>
      <c r="F254" s="28"/>
      <c r="G254" s="29"/>
      <c r="H254" s="2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9">
        <v>250.0</v>
      </c>
      <c r="B255" s="40" t="s">
        <v>276</v>
      </c>
      <c r="C255" s="41" t="s">
        <v>33</v>
      </c>
      <c r="D255" s="39">
        <v>4.0</v>
      </c>
      <c r="E255" s="28"/>
      <c r="F255" s="28"/>
      <c r="G255" s="29"/>
      <c r="H255" s="2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9">
        <v>251.0</v>
      </c>
      <c r="B256" s="40" t="s">
        <v>277</v>
      </c>
      <c r="C256" s="41" t="s">
        <v>33</v>
      </c>
      <c r="D256" s="39">
        <v>4.0</v>
      </c>
      <c r="E256" s="28"/>
      <c r="F256" s="28"/>
      <c r="G256" s="29"/>
      <c r="H256" s="2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9">
        <v>252.0</v>
      </c>
      <c r="B257" s="40" t="s">
        <v>278</v>
      </c>
      <c r="C257" s="41" t="s">
        <v>33</v>
      </c>
      <c r="D257" s="39">
        <v>4.0</v>
      </c>
      <c r="E257" s="28"/>
      <c r="F257" s="28"/>
      <c r="G257" s="29"/>
      <c r="H257" s="2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9">
        <v>253.0</v>
      </c>
      <c r="B258" s="40" t="s">
        <v>279</v>
      </c>
      <c r="C258" s="41" t="s">
        <v>33</v>
      </c>
      <c r="D258" s="39">
        <v>4.0</v>
      </c>
      <c r="E258" s="28"/>
      <c r="F258" s="28"/>
      <c r="G258" s="29"/>
      <c r="H258" s="2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9">
        <v>254.0</v>
      </c>
      <c r="B259" s="40" t="s">
        <v>280</v>
      </c>
      <c r="C259" s="41" t="s">
        <v>33</v>
      </c>
      <c r="D259" s="39">
        <v>4.0</v>
      </c>
      <c r="E259" s="28"/>
      <c r="F259" s="28"/>
      <c r="G259" s="29"/>
      <c r="H259" s="2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9">
        <v>255.0</v>
      </c>
      <c r="B260" s="40" t="s">
        <v>281</v>
      </c>
      <c r="C260" s="41" t="s">
        <v>33</v>
      </c>
      <c r="D260" s="39">
        <v>4.0</v>
      </c>
      <c r="E260" s="28"/>
      <c r="F260" s="28"/>
      <c r="G260" s="29"/>
      <c r="H260" s="2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9">
        <v>256.0</v>
      </c>
      <c r="B261" s="40" t="s">
        <v>282</v>
      </c>
      <c r="C261" s="41" t="s">
        <v>33</v>
      </c>
      <c r="D261" s="39">
        <v>4.0</v>
      </c>
      <c r="E261" s="28"/>
      <c r="F261" s="28"/>
      <c r="G261" s="29"/>
      <c r="H261" s="2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9">
        <v>257.0</v>
      </c>
      <c r="B262" s="40" t="s">
        <v>283</v>
      </c>
      <c r="C262" s="41" t="s">
        <v>33</v>
      </c>
      <c r="D262" s="39">
        <v>4.0</v>
      </c>
      <c r="E262" s="28"/>
      <c r="F262" s="28"/>
      <c r="G262" s="29"/>
      <c r="H262" s="2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9">
        <v>258.0</v>
      </c>
      <c r="B263" s="40" t="s">
        <v>284</v>
      </c>
      <c r="C263" s="41" t="s">
        <v>33</v>
      </c>
      <c r="D263" s="39">
        <v>4.0</v>
      </c>
      <c r="E263" s="28"/>
      <c r="F263" s="28"/>
      <c r="G263" s="29"/>
      <c r="H263" s="2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9">
        <v>259.0</v>
      </c>
      <c r="B264" s="40" t="s">
        <v>285</v>
      </c>
      <c r="C264" s="41" t="s">
        <v>33</v>
      </c>
      <c r="D264" s="39">
        <v>4.0</v>
      </c>
      <c r="E264" s="28"/>
      <c r="F264" s="28"/>
      <c r="G264" s="29"/>
      <c r="H264" s="2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9">
        <v>260.0</v>
      </c>
      <c r="B265" s="40" t="s">
        <v>286</v>
      </c>
      <c r="C265" s="41" t="s">
        <v>33</v>
      </c>
      <c r="D265" s="39">
        <v>4.0</v>
      </c>
      <c r="E265" s="28"/>
      <c r="F265" s="28"/>
      <c r="G265" s="29"/>
      <c r="H265" s="2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9">
        <v>261.0</v>
      </c>
      <c r="B266" s="40" t="s">
        <v>287</v>
      </c>
      <c r="C266" s="41" t="s">
        <v>33</v>
      </c>
      <c r="D266" s="39">
        <v>4.0</v>
      </c>
      <c r="E266" s="28"/>
      <c r="F266" s="28"/>
      <c r="G266" s="29"/>
      <c r="H266" s="2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9">
        <v>262.0</v>
      </c>
      <c r="B267" s="40" t="s">
        <v>288</v>
      </c>
      <c r="C267" s="41" t="s">
        <v>33</v>
      </c>
      <c r="D267" s="39">
        <v>4.0</v>
      </c>
      <c r="E267" s="28"/>
      <c r="F267" s="28"/>
      <c r="G267" s="29"/>
      <c r="H267" s="2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9">
        <v>263.0</v>
      </c>
      <c r="B268" s="40" t="s">
        <v>289</v>
      </c>
      <c r="C268" s="41" t="s">
        <v>33</v>
      </c>
      <c r="D268" s="39">
        <v>4.0</v>
      </c>
      <c r="E268" s="28"/>
      <c r="F268" s="28"/>
      <c r="G268" s="29"/>
      <c r="H268" s="2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9">
        <v>264.0</v>
      </c>
      <c r="B269" s="40" t="s">
        <v>290</v>
      </c>
      <c r="C269" s="41" t="s">
        <v>33</v>
      </c>
      <c r="D269" s="39">
        <v>4.0</v>
      </c>
      <c r="E269" s="28"/>
      <c r="F269" s="28"/>
      <c r="G269" s="29"/>
      <c r="H269" s="2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9">
        <v>265.0</v>
      </c>
      <c r="B270" s="40" t="s">
        <v>291</v>
      </c>
      <c r="C270" s="41" t="s">
        <v>33</v>
      </c>
      <c r="D270" s="39">
        <v>4.0</v>
      </c>
      <c r="E270" s="28"/>
      <c r="F270" s="28"/>
      <c r="G270" s="29"/>
      <c r="H270" s="2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9">
        <v>266.0</v>
      </c>
      <c r="B271" s="40" t="s">
        <v>292</v>
      </c>
      <c r="C271" s="41" t="s">
        <v>33</v>
      </c>
      <c r="D271" s="39">
        <v>4.0</v>
      </c>
      <c r="E271" s="28"/>
      <c r="F271" s="28"/>
      <c r="G271" s="29"/>
      <c r="H271" s="2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9">
        <v>267.0</v>
      </c>
      <c r="B272" s="40" t="s">
        <v>293</v>
      </c>
      <c r="C272" s="41" t="s">
        <v>33</v>
      </c>
      <c r="D272" s="39">
        <v>4.0</v>
      </c>
      <c r="E272" s="28"/>
      <c r="F272" s="28"/>
      <c r="G272" s="29"/>
      <c r="H272" s="2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9">
        <v>268.0</v>
      </c>
      <c r="B273" s="40" t="s">
        <v>294</v>
      </c>
      <c r="C273" s="41" t="s">
        <v>33</v>
      </c>
      <c r="D273" s="39">
        <v>4.0</v>
      </c>
      <c r="E273" s="28"/>
      <c r="F273" s="28"/>
      <c r="G273" s="29"/>
      <c r="H273" s="2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9">
        <v>269.0</v>
      </c>
      <c r="B274" s="40" t="s">
        <v>295</v>
      </c>
      <c r="C274" s="41" t="s">
        <v>33</v>
      </c>
      <c r="D274" s="39">
        <v>4.0</v>
      </c>
      <c r="E274" s="28"/>
      <c r="F274" s="28"/>
      <c r="G274" s="29"/>
      <c r="H274" s="2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9">
        <v>270.0</v>
      </c>
      <c r="B275" s="40" t="s">
        <v>296</v>
      </c>
      <c r="C275" s="41" t="s">
        <v>33</v>
      </c>
      <c r="D275" s="39">
        <v>4.0</v>
      </c>
      <c r="E275" s="28"/>
      <c r="F275" s="28"/>
      <c r="G275" s="29"/>
      <c r="H275" s="2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9">
        <v>271.0</v>
      </c>
      <c r="B276" s="40" t="s">
        <v>297</v>
      </c>
      <c r="C276" s="41" t="s">
        <v>33</v>
      </c>
      <c r="D276" s="39">
        <v>4.0</v>
      </c>
      <c r="E276" s="28"/>
      <c r="F276" s="28"/>
      <c r="G276" s="29"/>
      <c r="H276" s="2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9">
        <v>272.0</v>
      </c>
      <c r="B277" s="40" t="s">
        <v>298</v>
      </c>
      <c r="C277" s="41" t="s">
        <v>33</v>
      </c>
      <c r="D277" s="39">
        <v>4.0</v>
      </c>
      <c r="E277" s="28"/>
      <c r="F277" s="28"/>
      <c r="G277" s="29"/>
      <c r="H277" s="2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9">
        <v>273.0</v>
      </c>
      <c r="B278" s="40" t="s">
        <v>299</v>
      </c>
      <c r="C278" s="41" t="s">
        <v>33</v>
      </c>
      <c r="D278" s="39">
        <v>4.0</v>
      </c>
      <c r="E278" s="28"/>
      <c r="F278" s="28"/>
      <c r="G278" s="29"/>
      <c r="H278" s="2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9">
        <v>274.0</v>
      </c>
      <c r="B279" s="40" t="s">
        <v>300</v>
      </c>
      <c r="C279" s="41" t="s">
        <v>33</v>
      </c>
      <c r="D279" s="39">
        <v>4.0</v>
      </c>
      <c r="E279" s="28"/>
      <c r="F279" s="28"/>
      <c r="G279" s="29"/>
      <c r="H279" s="2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9">
        <v>275.0</v>
      </c>
      <c r="B280" s="40" t="s">
        <v>301</v>
      </c>
      <c r="C280" s="41" t="s">
        <v>33</v>
      </c>
      <c r="D280" s="39">
        <v>4.0</v>
      </c>
      <c r="E280" s="28"/>
      <c r="F280" s="28"/>
      <c r="G280" s="29"/>
      <c r="H280" s="2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9">
        <v>276.0</v>
      </c>
      <c r="B281" s="40" t="s">
        <v>302</v>
      </c>
      <c r="C281" s="41" t="s">
        <v>33</v>
      </c>
      <c r="D281" s="39">
        <v>4.0</v>
      </c>
      <c r="E281" s="28"/>
      <c r="F281" s="28"/>
      <c r="G281" s="29"/>
      <c r="H281" s="2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9">
        <v>277.0</v>
      </c>
      <c r="B282" s="40" t="s">
        <v>303</v>
      </c>
      <c r="C282" s="41" t="s">
        <v>33</v>
      </c>
      <c r="D282" s="39">
        <v>4.0</v>
      </c>
      <c r="E282" s="28"/>
      <c r="F282" s="28"/>
      <c r="G282" s="29"/>
      <c r="H282" s="2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9">
        <v>278.0</v>
      </c>
      <c r="B283" s="40" t="s">
        <v>304</v>
      </c>
      <c r="C283" s="41" t="s">
        <v>33</v>
      </c>
      <c r="D283" s="39">
        <v>4.0</v>
      </c>
      <c r="E283" s="28"/>
      <c r="F283" s="28"/>
      <c r="G283" s="29"/>
      <c r="H283" s="2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9">
        <v>279.0</v>
      </c>
      <c r="B284" s="40" t="s">
        <v>305</v>
      </c>
      <c r="C284" s="41" t="s">
        <v>33</v>
      </c>
      <c r="D284" s="39">
        <v>4.0</v>
      </c>
      <c r="E284" s="28"/>
      <c r="F284" s="28"/>
      <c r="G284" s="29"/>
      <c r="H284" s="2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2" t="s">
        <v>306</v>
      </c>
      <c r="C286" s="12" t="s">
        <v>307</v>
      </c>
      <c r="D286" s="12" t="s">
        <v>22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45" t="s">
        <v>308</v>
      </c>
      <c r="C288" s="12">
        <v>400.0</v>
      </c>
      <c r="D288" s="12">
        <v>4.0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46" t="s">
        <v>309</v>
      </c>
      <c r="C289" s="12">
        <v>400.0</v>
      </c>
      <c r="D289" s="12">
        <v>10.0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1">
    <mergeCell ref="A1:H2"/>
  </mergeCells>
  <dataValidations>
    <dataValidation type="list" allowBlank="1" showDropDown="1" showErrorMessage="1" sqref="C6:C284">
      <formula1>"BLIS,BLIS-ACADEMIC TRACK,BSIT-CISCO"</formula1>
    </dataValidation>
    <dataValidation type="custom" allowBlank="1" showDropDown="1" sqref="A6:A284 D6:D284">
      <formula1>AND(ISNUMBER(A6),(NOT(OR(NOT(ISERROR(DATEVALUE(A6))), AND(ISNUMBER(A6), LEFT(CELL("format", A6))="D")))))</formula1>
    </dataValidation>
    <dataValidation type="list" allowBlank="1" showErrorMessage="1" sqref="G6:G284">
      <formula1>"GCASH,CASH"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2.63"/>
    <col customWidth="1" min="2" max="2" width="37.75"/>
    <col customWidth="1" min="3" max="3" width="26.63"/>
    <col customWidth="1" min="4" max="4" width="13.75"/>
    <col customWidth="1" min="5" max="5" width="12.88"/>
    <col customWidth="1" min="6" max="6" width="14.38"/>
    <col customWidth="1" min="7" max="7" width="21.75"/>
    <col customWidth="1" min="8" max="8" width="14.5"/>
  </cols>
  <sheetData>
    <row r="1">
      <c r="A1" s="47" t="s">
        <v>310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6"/>
      <c r="B3" s="17" t="s">
        <v>14</v>
      </c>
      <c r="C3" s="48">
        <f>SUM(E6:E284)</f>
        <v>0</v>
      </c>
      <c r="D3" s="16"/>
      <c r="E3" s="17" t="s">
        <v>15</v>
      </c>
      <c r="G3" s="20">
        <f>(279*1000)-C3</f>
        <v>279000</v>
      </c>
      <c r="H3" s="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6"/>
      <c r="B4" s="16"/>
      <c r="C4" s="16"/>
      <c r="D4" s="16"/>
      <c r="E4" s="16"/>
      <c r="F4" s="19"/>
      <c r="G4" s="19"/>
      <c r="H4" s="1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1" t="s">
        <v>16</v>
      </c>
      <c r="B5" s="22" t="s">
        <v>17</v>
      </c>
      <c r="C5" s="22" t="s">
        <v>18</v>
      </c>
      <c r="D5" s="22" t="s">
        <v>19</v>
      </c>
      <c r="E5" s="22" t="s">
        <v>11</v>
      </c>
      <c r="F5" s="23" t="s">
        <v>20</v>
      </c>
      <c r="G5" s="23" t="s">
        <v>21</v>
      </c>
      <c r="H5" s="24" t="s">
        <v>22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5">
        <v>1.0</v>
      </c>
      <c r="B6" s="26" t="s">
        <v>23</v>
      </c>
      <c r="C6" s="27" t="s">
        <v>24</v>
      </c>
      <c r="D6" s="25">
        <v>1.0</v>
      </c>
      <c r="E6" s="28"/>
      <c r="F6" s="28"/>
      <c r="G6" s="49"/>
      <c r="H6" s="2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5">
        <v>2.0</v>
      </c>
      <c r="B7" s="26" t="s">
        <v>25</v>
      </c>
      <c r="C7" s="27" t="s">
        <v>24</v>
      </c>
      <c r="D7" s="25">
        <v>1.0</v>
      </c>
      <c r="E7" s="28"/>
      <c r="F7" s="28"/>
      <c r="G7" s="49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5">
        <v>3.0</v>
      </c>
      <c r="B8" s="26" t="s">
        <v>26</v>
      </c>
      <c r="C8" s="27" t="s">
        <v>24</v>
      </c>
      <c r="D8" s="25">
        <v>1.0</v>
      </c>
      <c r="E8" s="28"/>
      <c r="F8" s="28"/>
      <c r="G8" s="49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5">
        <v>4.0</v>
      </c>
      <c r="B9" s="26" t="s">
        <v>27</v>
      </c>
      <c r="C9" s="27" t="s">
        <v>24</v>
      </c>
      <c r="D9" s="25">
        <v>1.0</v>
      </c>
      <c r="E9" s="28"/>
      <c r="F9" s="28"/>
      <c r="G9" s="49"/>
      <c r="H9" s="2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5">
        <v>5.0</v>
      </c>
      <c r="B10" s="26" t="s">
        <v>28</v>
      </c>
      <c r="C10" s="27" t="s">
        <v>24</v>
      </c>
      <c r="D10" s="25">
        <v>1.0</v>
      </c>
      <c r="E10" s="28"/>
      <c r="F10" s="28"/>
      <c r="G10" s="49"/>
      <c r="H10" s="2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5">
        <v>6.0</v>
      </c>
      <c r="B11" s="26" t="s">
        <v>29</v>
      </c>
      <c r="C11" s="27" t="s">
        <v>24</v>
      </c>
      <c r="D11" s="25">
        <v>1.0</v>
      </c>
      <c r="E11" s="28"/>
      <c r="F11" s="28"/>
      <c r="G11" s="49"/>
      <c r="H11" s="2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5">
        <v>7.0</v>
      </c>
      <c r="B12" s="26" t="s">
        <v>30</v>
      </c>
      <c r="C12" s="27" t="s">
        <v>31</v>
      </c>
      <c r="D12" s="25">
        <v>1.0</v>
      </c>
      <c r="E12" s="28"/>
      <c r="F12" s="28"/>
      <c r="G12" s="49"/>
      <c r="H12" s="28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5">
        <v>8.0</v>
      </c>
      <c r="B13" s="26" t="s">
        <v>32</v>
      </c>
      <c r="C13" s="27" t="s">
        <v>33</v>
      </c>
      <c r="D13" s="25">
        <v>1.0</v>
      </c>
      <c r="E13" s="28"/>
      <c r="F13" s="28"/>
      <c r="G13" s="49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5">
        <v>9.0</v>
      </c>
      <c r="B14" s="26" t="s">
        <v>34</v>
      </c>
      <c r="C14" s="27" t="s">
        <v>33</v>
      </c>
      <c r="D14" s="25">
        <v>1.0</v>
      </c>
      <c r="E14" s="28"/>
      <c r="F14" s="28"/>
      <c r="G14" s="49"/>
      <c r="H14" s="2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5">
        <v>10.0</v>
      </c>
      <c r="B15" s="26" t="s">
        <v>35</v>
      </c>
      <c r="C15" s="27" t="s">
        <v>33</v>
      </c>
      <c r="D15" s="25">
        <v>1.0</v>
      </c>
      <c r="E15" s="28"/>
      <c r="F15" s="28"/>
      <c r="G15" s="49"/>
      <c r="H15" s="2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5">
        <v>11.0</v>
      </c>
      <c r="B16" s="26" t="s">
        <v>36</v>
      </c>
      <c r="C16" s="27" t="s">
        <v>33</v>
      </c>
      <c r="D16" s="25">
        <v>1.0</v>
      </c>
      <c r="E16" s="28"/>
      <c r="F16" s="28"/>
      <c r="G16" s="49"/>
      <c r="H16" s="2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5">
        <v>12.0</v>
      </c>
      <c r="B17" s="26" t="s">
        <v>37</v>
      </c>
      <c r="C17" s="27" t="s">
        <v>33</v>
      </c>
      <c r="D17" s="25">
        <v>1.0</v>
      </c>
      <c r="E17" s="28"/>
      <c r="F17" s="28"/>
      <c r="G17" s="49"/>
      <c r="H17" s="2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5">
        <v>13.0</v>
      </c>
      <c r="B18" s="26" t="s">
        <v>38</v>
      </c>
      <c r="C18" s="27" t="s">
        <v>33</v>
      </c>
      <c r="D18" s="25">
        <v>1.0</v>
      </c>
      <c r="E18" s="28"/>
      <c r="F18" s="28"/>
      <c r="G18" s="49"/>
      <c r="H18" s="28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5">
        <v>14.0</v>
      </c>
      <c r="B19" s="26" t="s">
        <v>39</v>
      </c>
      <c r="C19" s="27" t="s">
        <v>33</v>
      </c>
      <c r="D19" s="25">
        <v>1.0</v>
      </c>
      <c r="E19" s="28"/>
      <c r="F19" s="28"/>
      <c r="G19" s="49"/>
      <c r="H19" s="2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5">
        <v>15.0</v>
      </c>
      <c r="B20" s="26" t="s">
        <v>40</v>
      </c>
      <c r="C20" s="27" t="s">
        <v>33</v>
      </c>
      <c r="D20" s="25">
        <v>1.0</v>
      </c>
      <c r="E20" s="28"/>
      <c r="F20" s="28"/>
      <c r="G20" s="49"/>
      <c r="H20" s="28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5">
        <v>16.0</v>
      </c>
      <c r="B21" s="26" t="s">
        <v>41</v>
      </c>
      <c r="C21" s="27" t="s">
        <v>33</v>
      </c>
      <c r="D21" s="25">
        <v>1.0</v>
      </c>
      <c r="E21" s="28"/>
      <c r="F21" s="28"/>
      <c r="G21" s="49"/>
      <c r="H21" s="28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5">
        <v>17.0</v>
      </c>
      <c r="B22" s="26" t="s">
        <v>42</v>
      </c>
      <c r="C22" s="27" t="s">
        <v>33</v>
      </c>
      <c r="D22" s="25">
        <v>1.0</v>
      </c>
      <c r="E22" s="28"/>
      <c r="F22" s="28"/>
      <c r="G22" s="49"/>
      <c r="H22" s="28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5">
        <v>18.0</v>
      </c>
      <c r="B23" s="26" t="s">
        <v>44</v>
      </c>
      <c r="C23" s="27" t="s">
        <v>33</v>
      </c>
      <c r="D23" s="25">
        <v>1.0</v>
      </c>
      <c r="E23" s="28"/>
      <c r="F23" s="28"/>
      <c r="G23" s="49"/>
      <c r="H23" s="2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5">
        <v>19.0</v>
      </c>
      <c r="B24" s="26" t="s">
        <v>45</v>
      </c>
      <c r="C24" s="27" t="s">
        <v>33</v>
      </c>
      <c r="D24" s="25">
        <v>1.0</v>
      </c>
      <c r="E24" s="28"/>
      <c r="F24" s="28"/>
      <c r="G24" s="49"/>
      <c r="H24" s="28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5">
        <v>20.0</v>
      </c>
      <c r="B25" s="26" t="s">
        <v>46</v>
      </c>
      <c r="C25" s="27" t="s">
        <v>33</v>
      </c>
      <c r="D25" s="25">
        <v>1.0</v>
      </c>
      <c r="E25" s="28"/>
      <c r="F25" s="28"/>
      <c r="G25" s="49"/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5">
        <v>21.0</v>
      </c>
      <c r="B26" s="26" t="s">
        <v>47</v>
      </c>
      <c r="C26" s="27" t="s">
        <v>33</v>
      </c>
      <c r="D26" s="25">
        <v>1.0</v>
      </c>
      <c r="E26" s="28"/>
      <c r="F26" s="28"/>
      <c r="G26" s="49"/>
      <c r="H26" s="28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5">
        <v>22.0</v>
      </c>
      <c r="B27" s="26" t="s">
        <v>48</v>
      </c>
      <c r="C27" s="27" t="s">
        <v>33</v>
      </c>
      <c r="D27" s="25">
        <v>1.0</v>
      </c>
      <c r="E27" s="28"/>
      <c r="F27" s="28"/>
      <c r="G27" s="49"/>
      <c r="H27" s="28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5">
        <v>23.0</v>
      </c>
      <c r="B28" s="26" t="s">
        <v>49</v>
      </c>
      <c r="C28" s="27" t="s">
        <v>33</v>
      </c>
      <c r="D28" s="25">
        <v>1.0</v>
      </c>
      <c r="E28" s="28"/>
      <c r="F28" s="28"/>
      <c r="G28" s="49"/>
      <c r="H28" s="28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5">
        <v>24.0</v>
      </c>
      <c r="B29" s="26" t="s">
        <v>50</v>
      </c>
      <c r="C29" s="27" t="s">
        <v>33</v>
      </c>
      <c r="D29" s="25">
        <v>1.0</v>
      </c>
      <c r="E29" s="28"/>
      <c r="F29" s="28"/>
      <c r="G29" s="49"/>
      <c r="H29" s="28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5">
        <v>25.0</v>
      </c>
      <c r="B30" s="26" t="s">
        <v>51</v>
      </c>
      <c r="C30" s="27" t="s">
        <v>33</v>
      </c>
      <c r="D30" s="25">
        <v>1.0</v>
      </c>
      <c r="E30" s="28"/>
      <c r="F30" s="28"/>
      <c r="G30" s="49"/>
      <c r="H30" s="28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5">
        <v>26.0</v>
      </c>
      <c r="B31" s="26" t="s">
        <v>52</v>
      </c>
      <c r="C31" s="27" t="s">
        <v>33</v>
      </c>
      <c r="D31" s="25">
        <v>1.0</v>
      </c>
      <c r="E31" s="28"/>
      <c r="F31" s="28"/>
      <c r="G31" s="49"/>
      <c r="H31" s="28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5">
        <v>27.0</v>
      </c>
      <c r="B32" s="26" t="s">
        <v>53</v>
      </c>
      <c r="C32" s="27" t="s">
        <v>33</v>
      </c>
      <c r="D32" s="25">
        <v>1.0</v>
      </c>
      <c r="E32" s="28"/>
      <c r="F32" s="28"/>
      <c r="G32" s="49"/>
      <c r="H32" s="2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5">
        <v>28.0</v>
      </c>
      <c r="B33" s="26" t="s">
        <v>54</v>
      </c>
      <c r="C33" s="27" t="s">
        <v>33</v>
      </c>
      <c r="D33" s="25">
        <v>1.0</v>
      </c>
      <c r="E33" s="28"/>
      <c r="F33" s="28"/>
      <c r="G33" s="49"/>
      <c r="H33" s="2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5">
        <v>29.0</v>
      </c>
      <c r="B34" s="26" t="s">
        <v>55</v>
      </c>
      <c r="C34" s="27" t="s">
        <v>33</v>
      </c>
      <c r="D34" s="25">
        <v>1.0</v>
      </c>
      <c r="E34" s="28"/>
      <c r="F34" s="28"/>
      <c r="G34" s="49"/>
      <c r="H34" s="2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5">
        <v>30.0</v>
      </c>
      <c r="B35" s="26" t="s">
        <v>56</v>
      </c>
      <c r="C35" s="27" t="s">
        <v>33</v>
      </c>
      <c r="D35" s="25">
        <v>1.0</v>
      </c>
      <c r="E35" s="28"/>
      <c r="F35" s="28"/>
      <c r="G35" s="49"/>
      <c r="H35" s="2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5">
        <v>31.0</v>
      </c>
      <c r="B36" s="26" t="s">
        <v>57</v>
      </c>
      <c r="C36" s="27" t="s">
        <v>33</v>
      </c>
      <c r="D36" s="25">
        <v>1.0</v>
      </c>
      <c r="E36" s="28"/>
      <c r="F36" s="28"/>
      <c r="G36" s="49"/>
      <c r="H36" s="28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5">
        <v>32.0</v>
      </c>
      <c r="B37" s="26" t="s">
        <v>58</v>
      </c>
      <c r="C37" s="27" t="s">
        <v>33</v>
      </c>
      <c r="D37" s="25">
        <v>1.0</v>
      </c>
      <c r="E37" s="28"/>
      <c r="F37" s="28"/>
      <c r="G37" s="49"/>
      <c r="H37" s="28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5">
        <v>33.0</v>
      </c>
      <c r="B38" s="26" t="s">
        <v>59</v>
      </c>
      <c r="C38" s="27" t="s">
        <v>33</v>
      </c>
      <c r="D38" s="25">
        <v>1.0</v>
      </c>
      <c r="E38" s="28"/>
      <c r="F38" s="28"/>
      <c r="G38" s="49"/>
      <c r="H38" s="28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5">
        <v>34.0</v>
      </c>
      <c r="B39" s="26" t="s">
        <v>60</v>
      </c>
      <c r="C39" s="27" t="s">
        <v>33</v>
      </c>
      <c r="D39" s="25">
        <v>1.0</v>
      </c>
      <c r="E39" s="28"/>
      <c r="F39" s="28"/>
      <c r="G39" s="49"/>
      <c r="H39" s="28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5">
        <v>35.0</v>
      </c>
      <c r="B40" s="26" t="s">
        <v>61</v>
      </c>
      <c r="C40" s="27" t="s">
        <v>33</v>
      </c>
      <c r="D40" s="25">
        <v>1.0</v>
      </c>
      <c r="E40" s="28"/>
      <c r="F40" s="28"/>
      <c r="G40" s="49"/>
      <c r="H40" s="28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5">
        <v>36.0</v>
      </c>
      <c r="B41" s="26" t="s">
        <v>62</v>
      </c>
      <c r="C41" s="27" t="s">
        <v>33</v>
      </c>
      <c r="D41" s="25">
        <v>1.0</v>
      </c>
      <c r="E41" s="28"/>
      <c r="F41" s="28"/>
      <c r="G41" s="49"/>
      <c r="H41" s="28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5">
        <v>37.0</v>
      </c>
      <c r="B42" s="26" t="s">
        <v>63</v>
      </c>
      <c r="C42" s="27" t="s">
        <v>33</v>
      </c>
      <c r="D42" s="25">
        <v>1.0</v>
      </c>
      <c r="E42" s="28"/>
      <c r="F42" s="28"/>
      <c r="G42" s="49"/>
      <c r="H42" s="2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5">
        <v>38.0</v>
      </c>
      <c r="B43" s="26" t="s">
        <v>64</v>
      </c>
      <c r="C43" s="27" t="s">
        <v>33</v>
      </c>
      <c r="D43" s="25">
        <v>1.0</v>
      </c>
      <c r="E43" s="28"/>
      <c r="F43" s="28"/>
      <c r="G43" s="49"/>
      <c r="H43" s="2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5">
        <v>39.0</v>
      </c>
      <c r="B44" s="26" t="s">
        <v>65</v>
      </c>
      <c r="C44" s="27" t="s">
        <v>33</v>
      </c>
      <c r="D44" s="25">
        <v>1.0</v>
      </c>
      <c r="E44" s="28"/>
      <c r="F44" s="28"/>
      <c r="G44" s="49"/>
      <c r="H44" s="28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5">
        <v>40.0</v>
      </c>
      <c r="B45" s="26" t="s">
        <v>66</v>
      </c>
      <c r="C45" s="27" t="s">
        <v>33</v>
      </c>
      <c r="D45" s="25">
        <v>1.0</v>
      </c>
      <c r="E45" s="28"/>
      <c r="F45" s="28"/>
      <c r="G45" s="49"/>
      <c r="H45" s="28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9">
        <v>41.0</v>
      </c>
      <c r="B46" s="40" t="s">
        <v>67</v>
      </c>
      <c r="C46" s="41" t="s">
        <v>33</v>
      </c>
      <c r="D46" s="39">
        <v>1.0</v>
      </c>
      <c r="E46" s="28"/>
      <c r="F46" s="28"/>
      <c r="G46" s="49"/>
      <c r="H46" s="28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9">
        <v>42.0</v>
      </c>
      <c r="B47" s="40" t="s">
        <v>68</v>
      </c>
      <c r="C47" s="41" t="s">
        <v>33</v>
      </c>
      <c r="D47" s="39">
        <v>1.0</v>
      </c>
      <c r="E47" s="28"/>
      <c r="F47" s="28"/>
      <c r="G47" s="49"/>
      <c r="H47" s="28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9">
        <v>43.0</v>
      </c>
      <c r="B48" s="40" t="s">
        <v>69</v>
      </c>
      <c r="C48" s="41" t="s">
        <v>33</v>
      </c>
      <c r="D48" s="39">
        <v>1.0</v>
      </c>
      <c r="E48" s="28"/>
      <c r="F48" s="28"/>
      <c r="G48" s="49"/>
      <c r="H48" s="2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9">
        <v>44.0</v>
      </c>
      <c r="B49" s="40" t="s">
        <v>70</v>
      </c>
      <c r="C49" s="41" t="s">
        <v>33</v>
      </c>
      <c r="D49" s="39">
        <v>1.0</v>
      </c>
      <c r="E49" s="28"/>
      <c r="F49" s="28"/>
      <c r="G49" s="49"/>
      <c r="H49" s="2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9">
        <v>45.0</v>
      </c>
      <c r="B50" s="40" t="s">
        <v>71</v>
      </c>
      <c r="C50" s="41" t="s">
        <v>33</v>
      </c>
      <c r="D50" s="39">
        <v>1.0</v>
      </c>
      <c r="E50" s="28"/>
      <c r="F50" s="28"/>
      <c r="G50" s="49"/>
      <c r="H50" s="28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9">
        <v>46.0</v>
      </c>
      <c r="B51" s="40" t="s">
        <v>72</v>
      </c>
      <c r="C51" s="41" t="s">
        <v>33</v>
      </c>
      <c r="D51" s="39">
        <v>1.0</v>
      </c>
      <c r="E51" s="28"/>
      <c r="F51" s="28"/>
      <c r="G51" s="49"/>
      <c r="H51" s="28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9">
        <v>47.0</v>
      </c>
      <c r="B52" s="40" t="s">
        <v>73</v>
      </c>
      <c r="C52" s="41" t="s">
        <v>33</v>
      </c>
      <c r="D52" s="39">
        <v>1.0</v>
      </c>
      <c r="E52" s="28"/>
      <c r="F52" s="28"/>
      <c r="G52" s="49"/>
      <c r="H52" s="2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9">
        <v>48.0</v>
      </c>
      <c r="B53" s="40" t="s">
        <v>74</v>
      </c>
      <c r="C53" s="41" t="s">
        <v>33</v>
      </c>
      <c r="D53" s="39">
        <v>1.0</v>
      </c>
      <c r="E53" s="28"/>
      <c r="F53" s="28"/>
      <c r="G53" s="49"/>
      <c r="H53" s="28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9">
        <v>49.0</v>
      </c>
      <c r="B54" s="40" t="s">
        <v>75</v>
      </c>
      <c r="C54" s="41" t="s">
        <v>33</v>
      </c>
      <c r="D54" s="39">
        <v>1.0</v>
      </c>
      <c r="E54" s="28"/>
      <c r="F54" s="28"/>
      <c r="G54" s="49"/>
      <c r="H54" s="28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9">
        <v>50.0</v>
      </c>
      <c r="B55" s="40" t="s">
        <v>76</v>
      </c>
      <c r="C55" s="41" t="s">
        <v>33</v>
      </c>
      <c r="D55" s="39">
        <v>1.0</v>
      </c>
      <c r="E55" s="28"/>
      <c r="F55" s="28"/>
      <c r="G55" s="49"/>
      <c r="H55" s="28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9">
        <v>51.0</v>
      </c>
      <c r="B56" s="40" t="s">
        <v>77</v>
      </c>
      <c r="C56" s="41" t="s">
        <v>33</v>
      </c>
      <c r="D56" s="39">
        <v>1.0</v>
      </c>
      <c r="E56" s="28"/>
      <c r="F56" s="28"/>
      <c r="G56" s="49"/>
      <c r="H56" s="2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9">
        <v>52.0</v>
      </c>
      <c r="B57" s="40" t="s">
        <v>78</v>
      </c>
      <c r="C57" s="41" t="s">
        <v>33</v>
      </c>
      <c r="D57" s="39">
        <v>1.0</v>
      </c>
      <c r="E57" s="28"/>
      <c r="F57" s="28"/>
      <c r="G57" s="49"/>
      <c r="H57" s="28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9">
        <v>53.0</v>
      </c>
      <c r="B58" s="40" t="s">
        <v>79</v>
      </c>
      <c r="C58" s="41" t="s">
        <v>33</v>
      </c>
      <c r="D58" s="39">
        <v>1.0</v>
      </c>
      <c r="E58" s="28"/>
      <c r="F58" s="28"/>
      <c r="G58" s="49"/>
      <c r="H58" s="28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9">
        <v>54.0</v>
      </c>
      <c r="B59" s="40" t="s">
        <v>80</v>
      </c>
      <c r="C59" s="41" t="s">
        <v>33</v>
      </c>
      <c r="D59" s="39">
        <v>1.0</v>
      </c>
      <c r="E59" s="28"/>
      <c r="F59" s="28"/>
      <c r="G59" s="49"/>
      <c r="H59" s="28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9">
        <v>55.0</v>
      </c>
      <c r="B60" s="40" t="s">
        <v>81</v>
      </c>
      <c r="C60" s="41" t="s">
        <v>33</v>
      </c>
      <c r="D60" s="39">
        <v>1.0</v>
      </c>
      <c r="E60" s="28"/>
      <c r="F60" s="28"/>
      <c r="G60" s="49"/>
      <c r="H60" s="28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9">
        <v>56.0</v>
      </c>
      <c r="B61" s="40" t="s">
        <v>82</v>
      </c>
      <c r="C61" s="41" t="s">
        <v>33</v>
      </c>
      <c r="D61" s="39">
        <v>1.0</v>
      </c>
      <c r="E61" s="28"/>
      <c r="F61" s="28"/>
      <c r="G61" s="49"/>
      <c r="H61" s="28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9">
        <v>57.0</v>
      </c>
      <c r="B62" s="40" t="s">
        <v>83</v>
      </c>
      <c r="C62" s="41" t="s">
        <v>33</v>
      </c>
      <c r="D62" s="39">
        <v>1.0</v>
      </c>
      <c r="E62" s="28"/>
      <c r="F62" s="28"/>
      <c r="G62" s="49"/>
      <c r="H62" s="28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9">
        <v>58.0</v>
      </c>
      <c r="B63" s="40" t="s">
        <v>84</v>
      </c>
      <c r="C63" s="41" t="s">
        <v>33</v>
      </c>
      <c r="D63" s="39">
        <v>1.0</v>
      </c>
      <c r="E63" s="28"/>
      <c r="F63" s="28"/>
      <c r="G63" s="49"/>
      <c r="H63" s="28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9">
        <v>59.0</v>
      </c>
      <c r="B64" s="40" t="s">
        <v>85</v>
      </c>
      <c r="C64" s="41" t="s">
        <v>33</v>
      </c>
      <c r="D64" s="39">
        <v>1.0</v>
      </c>
      <c r="E64" s="28"/>
      <c r="F64" s="28"/>
      <c r="G64" s="49"/>
      <c r="H64" s="28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9">
        <v>60.0</v>
      </c>
      <c r="B65" s="40" t="s">
        <v>86</v>
      </c>
      <c r="C65" s="41" t="s">
        <v>33</v>
      </c>
      <c r="D65" s="39">
        <v>1.0</v>
      </c>
      <c r="E65" s="28"/>
      <c r="F65" s="28"/>
      <c r="G65" s="49"/>
      <c r="H65" s="28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9">
        <v>61.0</v>
      </c>
      <c r="B66" s="40" t="s">
        <v>87</v>
      </c>
      <c r="C66" s="41" t="s">
        <v>33</v>
      </c>
      <c r="D66" s="39">
        <v>1.0</v>
      </c>
      <c r="E66" s="26"/>
      <c r="F66" s="50"/>
      <c r="G66" s="49"/>
      <c r="H66" s="2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9">
        <v>62.0</v>
      </c>
      <c r="B67" s="40" t="s">
        <v>88</v>
      </c>
      <c r="C67" s="41" t="s">
        <v>33</v>
      </c>
      <c r="D67" s="39">
        <v>1.0</v>
      </c>
      <c r="E67" s="28"/>
      <c r="F67" s="28"/>
      <c r="G67" s="49"/>
      <c r="H67" s="28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9">
        <v>63.0</v>
      </c>
      <c r="B68" s="40" t="s">
        <v>89</v>
      </c>
      <c r="C68" s="41" t="s">
        <v>33</v>
      </c>
      <c r="D68" s="39">
        <v>1.0</v>
      </c>
      <c r="E68" s="28"/>
      <c r="F68" s="28"/>
      <c r="G68" s="49"/>
      <c r="H68" s="28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9">
        <v>64.0</v>
      </c>
      <c r="B69" s="40" t="s">
        <v>90</v>
      </c>
      <c r="C69" s="41" t="s">
        <v>33</v>
      </c>
      <c r="D69" s="39">
        <v>1.0</v>
      </c>
      <c r="E69" s="28"/>
      <c r="F69" s="28"/>
      <c r="G69" s="49"/>
      <c r="H69" s="28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9">
        <v>65.0</v>
      </c>
      <c r="B70" s="40" t="s">
        <v>91</v>
      </c>
      <c r="C70" s="41" t="s">
        <v>33</v>
      </c>
      <c r="D70" s="39">
        <v>1.0</v>
      </c>
      <c r="E70" s="28"/>
      <c r="F70" s="28"/>
      <c r="G70" s="49"/>
      <c r="H70" s="2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9">
        <v>66.0</v>
      </c>
      <c r="B71" s="40" t="s">
        <v>92</v>
      </c>
      <c r="C71" s="41" t="s">
        <v>33</v>
      </c>
      <c r="D71" s="39">
        <v>1.0</v>
      </c>
      <c r="E71" s="28"/>
      <c r="F71" s="28"/>
      <c r="G71" s="49"/>
      <c r="H71" s="28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9">
        <v>67.0</v>
      </c>
      <c r="B72" s="40" t="s">
        <v>93</v>
      </c>
      <c r="C72" s="41" t="s">
        <v>33</v>
      </c>
      <c r="D72" s="39">
        <v>1.0</v>
      </c>
      <c r="E72" s="28"/>
      <c r="F72" s="28"/>
      <c r="G72" s="49"/>
      <c r="H72" s="28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9">
        <v>68.0</v>
      </c>
      <c r="B73" s="40" t="s">
        <v>94</v>
      </c>
      <c r="C73" s="41" t="s">
        <v>33</v>
      </c>
      <c r="D73" s="39">
        <v>1.0</v>
      </c>
      <c r="E73" s="28"/>
      <c r="F73" s="28"/>
      <c r="G73" s="49"/>
      <c r="H73" s="28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9">
        <v>69.0</v>
      </c>
      <c r="B74" s="40" t="s">
        <v>95</v>
      </c>
      <c r="C74" s="41" t="s">
        <v>33</v>
      </c>
      <c r="D74" s="39">
        <v>1.0</v>
      </c>
      <c r="E74" s="28"/>
      <c r="F74" s="28"/>
      <c r="G74" s="49"/>
      <c r="H74" s="28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9">
        <v>70.0</v>
      </c>
      <c r="B75" s="40" t="s">
        <v>96</v>
      </c>
      <c r="C75" s="41" t="s">
        <v>33</v>
      </c>
      <c r="D75" s="39">
        <v>1.0</v>
      </c>
      <c r="E75" s="28"/>
      <c r="F75" s="28"/>
      <c r="G75" s="49"/>
      <c r="H75" s="28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9">
        <v>71.0</v>
      </c>
      <c r="B76" s="40" t="s">
        <v>97</v>
      </c>
      <c r="C76" s="41" t="s">
        <v>33</v>
      </c>
      <c r="D76" s="39">
        <v>1.0</v>
      </c>
      <c r="E76" s="28"/>
      <c r="F76" s="28"/>
      <c r="G76" s="49"/>
      <c r="H76" s="28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9">
        <v>72.0</v>
      </c>
      <c r="B77" s="40" t="s">
        <v>98</v>
      </c>
      <c r="C77" s="41" t="s">
        <v>33</v>
      </c>
      <c r="D77" s="39">
        <v>1.0</v>
      </c>
      <c r="E77" s="28"/>
      <c r="F77" s="28"/>
      <c r="G77" s="49"/>
      <c r="H77" s="28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9">
        <v>73.0</v>
      </c>
      <c r="B78" s="40" t="s">
        <v>99</v>
      </c>
      <c r="C78" s="41" t="s">
        <v>33</v>
      </c>
      <c r="D78" s="39">
        <v>1.0</v>
      </c>
      <c r="E78" s="28"/>
      <c r="F78" s="28"/>
      <c r="G78" s="49"/>
      <c r="H78" s="28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9">
        <v>74.0</v>
      </c>
      <c r="B79" s="40" t="s">
        <v>100</v>
      </c>
      <c r="C79" s="41" t="s">
        <v>33</v>
      </c>
      <c r="D79" s="39">
        <v>1.0</v>
      </c>
      <c r="E79" s="28"/>
      <c r="F79" s="28"/>
      <c r="G79" s="49"/>
      <c r="H79" s="28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9">
        <v>75.0</v>
      </c>
      <c r="B80" s="40" t="s">
        <v>101</v>
      </c>
      <c r="C80" s="41" t="s">
        <v>33</v>
      </c>
      <c r="D80" s="39">
        <v>1.0</v>
      </c>
      <c r="E80" s="28"/>
      <c r="F80" s="28"/>
      <c r="G80" s="49"/>
      <c r="H80" s="2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9">
        <v>76.0</v>
      </c>
      <c r="B81" s="40" t="s">
        <v>102</v>
      </c>
      <c r="C81" s="41" t="s">
        <v>33</v>
      </c>
      <c r="D81" s="39">
        <v>1.0</v>
      </c>
      <c r="E81" s="28"/>
      <c r="F81" s="28"/>
      <c r="G81" s="49"/>
      <c r="H81" s="28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9">
        <v>77.0</v>
      </c>
      <c r="B82" s="40" t="s">
        <v>103</v>
      </c>
      <c r="C82" s="41" t="s">
        <v>33</v>
      </c>
      <c r="D82" s="39">
        <v>1.0</v>
      </c>
      <c r="E82" s="28"/>
      <c r="F82" s="28"/>
      <c r="G82" s="49"/>
      <c r="H82" s="28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9">
        <v>78.0</v>
      </c>
      <c r="B83" s="40" t="s">
        <v>104</v>
      </c>
      <c r="C83" s="41" t="s">
        <v>33</v>
      </c>
      <c r="D83" s="39">
        <v>1.0</v>
      </c>
      <c r="E83" s="28"/>
      <c r="F83" s="28"/>
      <c r="G83" s="49"/>
      <c r="H83" s="28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9">
        <v>79.0</v>
      </c>
      <c r="B84" s="40" t="s">
        <v>105</v>
      </c>
      <c r="C84" s="41" t="s">
        <v>33</v>
      </c>
      <c r="D84" s="39">
        <v>1.0</v>
      </c>
      <c r="E84" s="28"/>
      <c r="F84" s="28"/>
      <c r="G84" s="49"/>
      <c r="H84" s="2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9">
        <v>80.0</v>
      </c>
      <c r="B85" s="40" t="s">
        <v>106</v>
      </c>
      <c r="C85" s="41" t="s">
        <v>33</v>
      </c>
      <c r="D85" s="39">
        <v>1.0</v>
      </c>
      <c r="E85" s="28"/>
      <c r="F85" s="28"/>
      <c r="G85" s="49"/>
      <c r="H85" s="28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9">
        <v>81.0</v>
      </c>
      <c r="B86" s="40" t="s">
        <v>107</v>
      </c>
      <c r="C86" s="41" t="s">
        <v>33</v>
      </c>
      <c r="D86" s="39">
        <v>1.0</v>
      </c>
      <c r="E86" s="28"/>
      <c r="F86" s="28"/>
      <c r="G86" s="49"/>
      <c r="H86" s="28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9">
        <v>82.0</v>
      </c>
      <c r="B87" s="40" t="s">
        <v>108</v>
      </c>
      <c r="C87" s="41" t="s">
        <v>33</v>
      </c>
      <c r="D87" s="39">
        <v>1.0</v>
      </c>
      <c r="E87" s="28"/>
      <c r="F87" s="28"/>
      <c r="G87" s="49"/>
      <c r="H87" s="28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9">
        <v>83.0</v>
      </c>
      <c r="B88" s="40" t="s">
        <v>109</v>
      </c>
      <c r="C88" s="41" t="s">
        <v>33</v>
      </c>
      <c r="D88" s="39">
        <v>1.0</v>
      </c>
      <c r="E88" s="28"/>
      <c r="F88" s="28"/>
      <c r="G88" s="49"/>
      <c r="H88" s="28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9">
        <v>84.0</v>
      </c>
      <c r="B89" s="40" t="s">
        <v>110</v>
      </c>
      <c r="C89" s="41" t="s">
        <v>33</v>
      </c>
      <c r="D89" s="39">
        <v>1.0</v>
      </c>
      <c r="E89" s="28"/>
      <c r="F89" s="28"/>
      <c r="G89" s="49"/>
      <c r="H89" s="28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9">
        <v>85.0</v>
      </c>
      <c r="B90" s="40" t="s">
        <v>111</v>
      </c>
      <c r="C90" s="41" t="s">
        <v>33</v>
      </c>
      <c r="D90" s="39">
        <v>1.0</v>
      </c>
      <c r="E90" s="28"/>
      <c r="F90" s="28"/>
      <c r="G90" s="49"/>
      <c r="H90" s="28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9">
        <v>86.0</v>
      </c>
      <c r="B91" s="40" t="s">
        <v>112</v>
      </c>
      <c r="C91" s="41" t="s">
        <v>33</v>
      </c>
      <c r="D91" s="39">
        <v>1.0</v>
      </c>
      <c r="E91" s="28"/>
      <c r="F91" s="28"/>
      <c r="G91" s="49"/>
      <c r="H91" s="28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9">
        <v>87.0</v>
      </c>
      <c r="B92" s="40" t="s">
        <v>113</v>
      </c>
      <c r="C92" s="41" t="s">
        <v>33</v>
      </c>
      <c r="D92" s="39">
        <v>1.0</v>
      </c>
      <c r="E92" s="28"/>
      <c r="F92" s="28"/>
      <c r="G92" s="49"/>
      <c r="H92" s="28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9">
        <v>88.0</v>
      </c>
      <c r="B93" s="40" t="s">
        <v>114</v>
      </c>
      <c r="C93" s="41" t="s">
        <v>33</v>
      </c>
      <c r="D93" s="39">
        <v>1.0</v>
      </c>
      <c r="E93" s="28"/>
      <c r="F93" s="28"/>
      <c r="G93" s="49"/>
      <c r="H93" s="28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9">
        <v>89.0</v>
      </c>
      <c r="B94" s="40" t="s">
        <v>115</v>
      </c>
      <c r="C94" s="41" t="s">
        <v>33</v>
      </c>
      <c r="D94" s="39">
        <v>1.0</v>
      </c>
      <c r="E94" s="28"/>
      <c r="F94" s="28"/>
      <c r="G94" s="49"/>
      <c r="H94" s="28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9">
        <v>90.0</v>
      </c>
      <c r="B95" s="40" t="s">
        <v>116</v>
      </c>
      <c r="C95" s="41" t="s">
        <v>33</v>
      </c>
      <c r="D95" s="39">
        <v>1.0</v>
      </c>
      <c r="E95" s="28"/>
      <c r="F95" s="28"/>
      <c r="G95" s="49"/>
      <c r="H95" s="28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9">
        <v>91.0</v>
      </c>
      <c r="B96" s="40" t="s">
        <v>117</v>
      </c>
      <c r="C96" s="41" t="s">
        <v>33</v>
      </c>
      <c r="D96" s="39">
        <v>1.0</v>
      </c>
      <c r="E96" s="28"/>
      <c r="F96" s="28"/>
      <c r="G96" s="49"/>
      <c r="H96" s="28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9">
        <v>92.0</v>
      </c>
      <c r="B97" s="40" t="s">
        <v>118</v>
      </c>
      <c r="C97" s="41" t="s">
        <v>33</v>
      </c>
      <c r="D97" s="39">
        <v>1.0</v>
      </c>
      <c r="E97" s="28"/>
      <c r="F97" s="28"/>
      <c r="G97" s="49"/>
      <c r="H97" s="28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9">
        <v>93.0</v>
      </c>
      <c r="B98" s="40" t="s">
        <v>119</v>
      </c>
      <c r="C98" s="41" t="s">
        <v>33</v>
      </c>
      <c r="D98" s="39">
        <v>1.0</v>
      </c>
      <c r="E98" s="28"/>
      <c r="F98" s="28"/>
      <c r="G98" s="49"/>
      <c r="H98" s="28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9">
        <v>94.0</v>
      </c>
      <c r="B99" s="40" t="s">
        <v>120</v>
      </c>
      <c r="C99" s="41" t="s">
        <v>33</v>
      </c>
      <c r="D99" s="39">
        <v>1.0</v>
      </c>
      <c r="E99" s="28"/>
      <c r="F99" s="28"/>
      <c r="G99" s="49"/>
      <c r="H99" s="2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9">
        <v>95.0</v>
      </c>
      <c r="B100" s="40" t="s">
        <v>121</v>
      </c>
      <c r="C100" s="41" t="s">
        <v>33</v>
      </c>
      <c r="D100" s="39">
        <v>1.0</v>
      </c>
      <c r="E100" s="28"/>
      <c r="F100" s="28"/>
      <c r="G100" s="49"/>
      <c r="H100" s="28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9">
        <v>96.0</v>
      </c>
      <c r="B101" s="40" t="s">
        <v>122</v>
      </c>
      <c r="C101" s="41" t="s">
        <v>33</v>
      </c>
      <c r="D101" s="39">
        <v>1.0</v>
      </c>
      <c r="E101" s="28"/>
      <c r="F101" s="28"/>
      <c r="G101" s="49"/>
      <c r="H101" s="28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9">
        <v>97.0</v>
      </c>
      <c r="B102" s="40" t="s">
        <v>123</v>
      </c>
      <c r="C102" s="41" t="s">
        <v>33</v>
      </c>
      <c r="D102" s="39">
        <v>1.0</v>
      </c>
      <c r="E102" s="28"/>
      <c r="F102" s="28"/>
      <c r="G102" s="49"/>
      <c r="H102" s="28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9">
        <v>98.0</v>
      </c>
      <c r="B103" s="40" t="s">
        <v>124</v>
      </c>
      <c r="C103" s="41" t="s">
        <v>33</v>
      </c>
      <c r="D103" s="39">
        <v>1.0</v>
      </c>
      <c r="E103" s="28"/>
      <c r="F103" s="28"/>
      <c r="G103" s="49"/>
      <c r="H103" s="28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9">
        <v>99.0</v>
      </c>
      <c r="B104" s="40" t="s">
        <v>125</v>
      </c>
      <c r="C104" s="41" t="s">
        <v>33</v>
      </c>
      <c r="D104" s="39">
        <v>1.0</v>
      </c>
      <c r="E104" s="28"/>
      <c r="F104" s="28"/>
      <c r="G104" s="49"/>
      <c r="H104" s="28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9">
        <v>100.0</v>
      </c>
      <c r="B105" s="40" t="s">
        <v>126</v>
      </c>
      <c r="C105" s="41" t="s">
        <v>33</v>
      </c>
      <c r="D105" s="39">
        <v>1.0</v>
      </c>
      <c r="E105" s="28"/>
      <c r="F105" s="28"/>
      <c r="G105" s="49"/>
      <c r="H105" s="28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9">
        <v>101.0</v>
      </c>
      <c r="B106" s="40" t="s">
        <v>127</v>
      </c>
      <c r="C106" s="41" t="s">
        <v>33</v>
      </c>
      <c r="D106" s="39">
        <v>1.0</v>
      </c>
      <c r="E106" s="28"/>
      <c r="F106" s="28"/>
      <c r="G106" s="49"/>
      <c r="H106" s="28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9">
        <v>102.0</v>
      </c>
      <c r="B107" s="40" t="s">
        <v>128</v>
      </c>
      <c r="C107" s="41" t="s">
        <v>33</v>
      </c>
      <c r="D107" s="39">
        <v>1.0</v>
      </c>
      <c r="E107" s="28"/>
      <c r="F107" s="28"/>
      <c r="G107" s="49"/>
      <c r="H107" s="28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9">
        <v>103.0</v>
      </c>
      <c r="B108" s="40" t="s">
        <v>129</v>
      </c>
      <c r="C108" s="41" t="s">
        <v>33</v>
      </c>
      <c r="D108" s="39">
        <v>1.0</v>
      </c>
      <c r="E108" s="28"/>
      <c r="F108" s="28"/>
      <c r="G108" s="49"/>
      <c r="H108" s="28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9">
        <v>104.0</v>
      </c>
      <c r="B109" s="40" t="s">
        <v>130</v>
      </c>
      <c r="C109" s="41" t="s">
        <v>33</v>
      </c>
      <c r="D109" s="39">
        <v>1.0</v>
      </c>
      <c r="E109" s="28"/>
      <c r="F109" s="28"/>
      <c r="G109" s="49"/>
      <c r="H109" s="28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9">
        <v>105.0</v>
      </c>
      <c r="B110" s="40" t="s">
        <v>131</v>
      </c>
      <c r="C110" s="41" t="s">
        <v>33</v>
      </c>
      <c r="D110" s="39">
        <v>1.0</v>
      </c>
      <c r="E110" s="28"/>
      <c r="F110" s="28"/>
      <c r="G110" s="49"/>
      <c r="H110" s="28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9">
        <v>106.0</v>
      </c>
      <c r="B111" s="40" t="s">
        <v>132</v>
      </c>
      <c r="C111" s="41" t="s">
        <v>31</v>
      </c>
      <c r="D111" s="39">
        <v>2.0</v>
      </c>
      <c r="E111" s="28"/>
      <c r="F111" s="28"/>
      <c r="G111" s="49"/>
      <c r="H111" s="28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9">
        <v>107.0</v>
      </c>
      <c r="B112" s="40" t="s">
        <v>133</v>
      </c>
      <c r="C112" s="41" t="s">
        <v>31</v>
      </c>
      <c r="D112" s="39">
        <v>2.0</v>
      </c>
      <c r="E112" s="28"/>
      <c r="F112" s="28"/>
      <c r="G112" s="49"/>
      <c r="H112" s="28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9">
        <v>108.0</v>
      </c>
      <c r="B113" s="40" t="s">
        <v>134</v>
      </c>
      <c r="C113" s="41" t="s">
        <v>31</v>
      </c>
      <c r="D113" s="39">
        <v>2.0</v>
      </c>
      <c r="E113" s="28"/>
      <c r="F113" s="28"/>
      <c r="G113" s="49"/>
      <c r="H113" s="28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9">
        <v>109.0</v>
      </c>
      <c r="B114" s="40" t="s">
        <v>135</v>
      </c>
      <c r="C114" s="41" t="s">
        <v>31</v>
      </c>
      <c r="D114" s="39">
        <v>2.0</v>
      </c>
      <c r="E114" s="28"/>
      <c r="F114" s="28"/>
      <c r="G114" s="49"/>
      <c r="H114" s="28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9">
        <v>110.0</v>
      </c>
      <c r="B115" s="40" t="s">
        <v>136</v>
      </c>
      <c r="C115" s="41" t="s">
        <v>31</v>
      </c>
      <c r="D115" s="39">
        <v>2.0</v>
      </c>
      <c r="E115" s="28"/>
      <c r="F115" s="28"/>
      <c r="G115" s="49"/>
      <c r="H115" s="28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9">
        <v>111.0</v>
      </c>
      <c r="B116" s="40" t="s">
        <v>137</v>
      </c>
      <c r="C116" s="41" t="s">
        <v>31</v>
      </c>
      <c r="D116" s="39">
        <v>2.0</v>
      </c>
      <c r="E116" s="28"/>
      <c r="F116" s="28"/>
      <c r="G116" s="49"/>
      <c r="H116" s="28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9">
        <v>112.0</v>
      </c>
      <c r="B117" s="40" t="s">
        <v>138</v>
      </c>
      <c r="C117" s="41" t="s">
        <v>33</v>
      </c>
      <c r="D117" s="39">
        <v>2.0</v>
      </c>
      <c r="E117" s="28"/>
      <c r="F117" s="28"/>
      <c r="G117" s="49"/>
      <c r="H117" s="28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9">
        <v>113.0</v>
      </c>
      <c r="B118" s="40" t="s">
        <v>139</v>
      </c>
      <c r="C118" s="41" t="s">
        <v>33</v>
      </c>
      <c r="D118" s="39">
        <v>2.0</v>
      </c>
      <c r="E118" s="28"/>
      <c r="F118" s="28"/>
      <c r="G118" s="49"/>
      <c r="H118" s="2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9">
        <v>114.0</v>
      </c>
      <c r="B119" s="40" t="s">
        <v>140</v>
      </c>
      <c r="C119" s="41" t="s">
        <v>33</v>
      </c>
      <c r="D119" s="39">
        <v>2.0</v>
      </c>
      <c r="E119" s="28"/>
      <c r="F119" s="28"/>
      <c r="G119" s="49"/>
      <c r="H119" s="2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9">
        <v>115.0</v>
      </c>
      <c r="B120" s="40" t="s">
        <v>141</v>
      </c>
      <c r="C120" s="41" t="s">
        <v>33</v>
      </c>
      <c r="D120" s="39">
        <v>2.0</v>
      </c>
      <c r="E120" s="28"/>
      <c r="F120" s="28"/>
      <c r="G120" s="49"/>
      <c r="H120" s="2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9">
        <v>116.0</v>
      </c>
      <c r="B121" s="40" t="s">
        <v>142</v>
      </c>
      <c r="C121" s="41" t="s">
        <v>33</v>
      </c>
      <c r="D121" s="39">
        <v>2.0</v>
      </c>
      <c r="E121" s="28"/>
      <c r="F121" s="28"/>
      <c r="G121" s="49"/>
      <c r="H121" s="2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9">
        <v>117.0</v>
      </c>
      <c r="B122" s="40" t="s">
        <v>143</v>
      </c>
      <c r="C122" s="41" t="s">
        <v>33</v>
      </c>
      <c r="D122" s="39">
        <v>2.0</v>
      </c>
      <c r="E122" s="28"/>
      <c r="F122" s="28"/>
      <c r="G122" s="49"/>
      <c r="H122" s="2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9">
        <v>118.0</v>
      </c>
      <c r="B123" s="40" t="s">
        <v>144</v>
      </c>
      <c r="C123" s="41" t="s">
        <v>33</v>
      </c>
      <c r="D123" s="39">
        <v>2.0</v>
      </c>
      <c r="E123" s="28"/>
      <c r="F123" s="28"/>
      <c r="G123" s="49"/>
      <c r="H123" s="2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9">
        <v>119.0</v>
      </c>
      <c r="B124" s="40" t="s">
        <v>145</v>
      </c>
      <c r="C124" s="41" t="s">
        <v>33</v>
      </c>
      <c r="D124" s="39">
        <v>2.0</v>
      </c>
      <c r="E124" s="28"/>
      <c r="F124" s="28"/>
      <c r="G124" s="49"/>
      <c r="H124" s="2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9">
        <v>120.0</v>
      </c>
      <c r="B125" s="40" t="s">
        <v>146</v>
      </c>
      <c r="C125" s="41" t="s">
        <v>33</v>
      </c>
      <c r="D125" s="39">
        <v>2.0</v>
      </c>
      <c r="E125" s="28"/>
      <c r="F125" s="28"/>
      <c r="G125" s="49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9">
        <v>121.0</v>
      </c>
      <c r="B126" s="40" t="s">
        <v>147</v>
      </c>
      <c r="C126" s="41" t="s">
        <v>33</v>
      </c>
      <c r="D126" s="39">
        <v>2.0</v>
      </c>
      <c r="E126" s="28"/>
      <c r="F126" s="28"/>
      <c r="G126" s="49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9">
        <v>122.0</v>
      </c>
      <c r="B127" s="40" t="s">
        <v>148</v>
      </c>
      <c r="C127" s="41" t="s">
        <v>33</v>
      </c>
      <c r="D127" s="39">
        <v>2.0</v>
      </c>
      <c r="E127" s="28"/>
      <c r="F127" s="28"/>
      <c r="G127" s="49"/>
      <c r="H127" s="2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9">
        <v>123.0</v>
      </c>
      <c r="B128" s="40" t="s">
        <v>149</v>
      </c>
      <c r="C128" s="41" t="s">
        <v>33</v>
      </c>
      <c r="D128" s="39">
        <v>2.0</v>
      </c>
      <c r="E128" s="28"/>
      <c r="F128" s="28"/>
      <c r="G128" s="49"/>
      <c r="H128" s="2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9">
        <v>124.0</v>
      </c>
      <c r="B129" s="40" t="s">
        <v>150</v>
      </c>
      <c r="C129" s="41" t="s">
        <v>33</v>
      </c>
      <c r="D129" s="39">
        <v>2.0</v>
      </c>
      <c r="E129" s="28"/>
      <c r="F129" s="28"/>
      <c r="G129" s="49"/>
      <c r="H129" s="2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9">
        <v>125.0</v>
      </c>
      <c r="B130" s="40" t="s">
        <v>151</v>
      </c>
      <c r="C130" s="41" t="s">
        <v>33</v>
      </c>
      <c r="D130" s="39">
        <v>2.0</v>
      </c>
      <c r="E130" s="28"/>
      <c r="F130" s="28"/>
      <c r="G130" s="49"/>
      <c r="H130" s="2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9">
        <v>126.0</v>
      </c>
      <c r="B131" s="40" t="s">
        <v>152</v>
      </c>
      <c r="C131" s="41" t="s">
        <v>33</v>
      </c>
      <c r="D131" s="39">
        <v>2.0</v>
      </c>
      <c r="E131" s="28"/>
      <c r="F131" s="28"/>
      <c r="G131" s="49"/>
      <c r="H131" s="2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9">
        <v>127.0</v>
      </c>
      <c r="B132" s="40" t="s">
        <v>153</v>
      </c>
      <c r="C132" s="41" t="s">
        <v>33</v>
      </c>
      <c r="D132" s="39">
        <v>2.0</v>
      </c>
      <c r="E132" s="28"/>
      <c r="F132" s="28"/>
      <c r="G132" s="49"/>
      <c r="H132" s="2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9">
        <v>128.0</v>
      </c>
      <c r="B133" s="40" t="s">
        <v>154</v>
      </c>
      <c r="C133" s="41" t="s">
        <v>33</v>
      </c>
      <c r="D133" s="39">
        <v>2.0</v>
      </c>
      <c r="E133" s="28"/>
      <c r="F133" s="28"/>
      <c r="G133" s="49"/>
      <c r="H133" s="2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9">
        <v>129.0</v>
      </c>
      <c r="B134" s="40" t="s">
        <v>155</v>
      </c>
      <c r="C134" s="41" t="s">
        <v>33</v>
      </c>
      <c r="D134" s="39">
        <v>2.0</v>
      </c>
      <c r="E134" s="28"/>
      <c r="F134" s="28"/>
      <c r="G134" s="49"/>
      <c r="H134" s="2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9">
        <v>130.0</v>
      </c>
      <c r="B135" s="40" t="s">
        <v>156</v>
      </c>
      <c r="C135" s="41" t="s">
        <v>33</v>
      </c>
      <c r="D135" s="39">
        <v>2.0</v>
      </c>
      <c r="E135" s="28"/>
      <c r="F135" s="28"/>
      <c r="G135" s="49"/>
      <c r="H135" s="2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9">
        <v>131.0</v>
      </c>
      <c r="B136" s="40" t="s">
        <v>157</v>
      </c>
      <c r="C136" s="41" t="s">
        <v>33</v>
      </c>
      <c r="D136" s="39">
        <v>2.0</v>
      </c>
      <c r="E136" s="28"/>
      <c r="F136" s="28"/>
      <c r="G136" s="49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9">
        <v>132.0</v>
      </c>
      <c r="B137" s="40" t="s">
        <v>158</v>
      </c>
      <c r="C137" s="41" t="s">
        <v>33</v>
      </c>
      <c r="D137" s="39">
        <v>2.0</v>
      </c>
      <c r="E137" s="28"/>
      <c r="F137" s="28"/>
      <c r="G137" s="49"/>
      <c r="H137" s="2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9">
        <v>133.0</v>
      </c>
      <c r="B138" s="40" t="s">
        <v>159</v>
      </c>
      <c r="C138" s="41" t="s">
        <v>33</v>
      </c>
      <c r="D138" s="39">
        <v>2.0</v>
      </c>
      <c r="E138" s="28"/>
      <c r="F138" s="28"/>
      <c r="G138" s="49"/>
      <c r="H138" s="2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9">
        <v>134.0</v>
      </c>
      <c r="B139" s="40" t="s">
        <v>160</v>
      </c>
      <c r="C139" s="41" t="s">
        <v>33</v>
      </c>
      <c r="D139" s="39">
        <v>2.0</v>
      </c>
      <c r="E139" s="28"/>
      <c r="F139" s="28"/>
      <c r="G139" s="49"/>
      <c r="H139" s="2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9">
        <v>135.0</v>
      </c>
      <c r="B140" s="40" t="s">
        <v>161</v>
      </c>
      <c r="C140" s="41" t="s">
        <v>33</v>
      </c>
      <c r="D140" s="39">
        <v>2.0</v>
      </c>
      <c r="E140" s="28"/>
      <c r="F140" s="28"/>
      <c r="G140" s="49"/>
      <c r="H140" s="2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9">
        <v>136.0</v>
      </c>
      <c r="B141" s="40" t="s">
        <v>162</v>
      </c>
      <c r="C141" s="41" t="s">
        <v>33</v>
      </c>
      <c r="D141" s="39">
        <v>2.0</v>
      </c>
      <c r="E141" s="28"/>
      <c r="F141" s="28"/>
      <c r="G141" s="49"/>
      <c r="H141" s="2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9">
        <v>137.0</v>
      </c>
      <c r="B142" s="40" t="s">
        <v>163</v>
      </c>
      <c r="C142" s="41" t="s">
        <v>33</v>
      </c>
      <c r="D142" s="39">
        <v>2.0</v>
      </c>
      <c r="E142" s="28"/>
      <c r="F142" s="28"/>
      <c r="G142" s="49"/>
      <c r="H142" s="2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9">
        <v>138.0</v>
      </c>
      <c r="B143" s="40" t="s">
        <v>164</v>
      </c>
      <c r="C143" s="41" t="s">
        <v>33</v>
      </c>
      <c r="D143" s="39">
        <v>2.0</v>
      </c>
      <c r="E143" s="28"/>
      <c r="F143" s="28"/>
      <c r="G143" s="49"/>
      <c r="H143" s="2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9">
        <v>139.0</v>
      </c>
      <c r="B144" s="40" t="s">
        <v>165</v>
      </c>
      <c r="C144" s="41" t="s">
        <v>33</v>
      </c>
      <c r="D144" s="39">
        <v>2.0</v>
      </c>
      <c r="E144" s="28"/>
      <c r="F144" s="28"/>
      <c r="G144" s="49"/>
      <c r="H144" s="2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9">
        <v>140.0</v>
      </c>
      <c r="B145" s="40" t="s">
        <v>166</v>
      </c>
      <c r="C145" s="41" t="s">
        <v>33</v>
      </c>
      <c r="D145" s="39">
        <v>2.0</v>
      </c>
      <c r="E145" s="28"/>
      <c r="F145" s="28"/>
      <c r="G145" s="49"/>
      <c r="H145" s="2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9">
        <v>141.0</v>
      </c>
      <c r="B146" s="40" t="s">
        <v>167</v>
      </c>
      <c r="C146" s="41" t="s">
        <v>33</v>
      </c>
      <c r="D146" s="39">
        <v>2.0</v>
      </c>
      <c r="E146" s="28"/>
      <c r="F146" s="28"/>
      <c r="G146" s="49"/>
      <c r="H146" s="2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9">
        <v>142.0</v>
      </c>
      <c r="B147" s="40" t="s">
        <v>168</v>
      </c>
      <c r="C147" s="41" t="s">
        <v>33</v>
      </c>
      <c r="D147" s="39">
        <v>2.0</v>
      </c>
      <c r="E147" s="28"/>
      <c r="F147" s="28"/>
      <c r="G147" s="49"/>
      <c r="H147" s="2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9">
        <v>143.0</v>
      </c>
      <c r="B148" s="40" t="s">
        <v>169</v>
      </c>
      <c r="C148" s="41" t="s">
        <v>33</v>
      </c>
      <c r="D148" s="39">
        <v>2.0</v>
      </c>
      <c r="E148" s="28"/>
      <c r="F148" s="28"/>
      <c r="G148" s="49"/>
      <c r="H148" s="2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9">
        <v>144.0</v>
      </c>
      <c r="B149" s="40" t="s">
        <v>170</v>
      </c>
      <c r="C149" s="41" t="s">
        <v>33</v>
      </c>
      <c r="D149" s="39">
        <v>2.0</v>
      </c>
      <c r="E149" s="28"/>
      <c r="F149" s="28"/>
      <c r="G149" s="49"/>
      <c r="H149" s="2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9">
        <v>145.0</v>
      </c>
      <c r="B150" s="40" t="s">
        <v>171</v>
      </c>
      <c r="C150" s="41" t="s">
        <v>33</v>
      </c>
      <c r="D150" s="39">
        <v>2.0</v>
      </c>
      <c r="E150" s="28"/>
      <c r="F150" s="28"/>
      <c r="G150" s="49"/>
      <c r="H150" s="2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9">
        <v>146.0</v>
      </c>
      <c r="B151" s="40" t="s">
        <v>172</v>
      </c>
      <c r="C151" s="41" t="s">
        <v>33</v>
      </c>
      <c r="D151" s="39">
        <v>2.0</v>
      </c>
      <c r="E151" s="28"/>
      <c r="F151" s="28"/>
      <c r="G151" s="49"/>
      <c r="H151" s="2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9">
        <v>147.0</v>
      </c>
      <c r="B152" s="40" t="s">
        <v>173</v>
      </c>
      <c r="C152" s="41" t="s">
        <v>33</v>
      </c>
      <c r="D152" s="39">
        <v>2.0</v>
      </c>
      <c r="E152" s="28"/>
      <c r="F152" s="28"/>
      <c r="G152" s="49"/>
      <c r="H152" s="2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9">
        <v>148.0</v>
      </c>
      <c r="B153" s="40" t="s">
        <v>174</v>
      </c>
      <c r="C153" s="41" t="s">
        <v>33</v>
      </c>
      <c r="D153" s="39">
        <v>2.0</v>
      </c>
      <c r="E153" s="28"/>
      <c r="F153" s="28"/>
      <c r="G153" s="49"/>
      <c r="H153" s="2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9">
        <v>149.0</v>
      </c>
      <c r="B154" s="40" t="s">
        <v>175</v>
      </c>
      <c r="C154" s="41" t="s">
        <v>33</v>
      </c>
      <c r="D154" s="39">
        <v>2.0</v>
      </c>
      <c r="E154" s="28"/>
      <c r="F154" s="28"/>
      <c r="G154" s="49"/>
      <c r="H154" s="2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9">
        <v>150.0</v>
      </c>
      <c r="B155" s="40" t="s">
        <v>176</v>
      </c>
      <c r="C155" s="41" t="s">
        <v>33</v>
      </c>
      <c r="D155" s="39">
        <v>2.0</v>
      </c>
      <c r="E155" s="28"/>
      <c r="F155" s="28"/>
      <c r="G155" s="49"/>
      <c r="H155" s="2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9">
        <v>151.0</v>
      </c>
      <c r="B156" s="40" t="s">
        <v>177</v>
      </c>
      <c r="C156" s="41" t="s">
        <v>33</v>
      </c>
      <c r="D156" s="39">
        <v>2.0</v>
      </c>
      <c r="E156" s="28"/>
      <c r="F156" s="28"/>
      <c r="G156" s="49"/>
      <c r="H156" s="2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9">
        <v>152.0</v>
      </c>
      <c r="B157" s="40" t="s">
        <v>178</v>
      </c>
      <c r="C157" s="41" t="s">
        <v>33</v>
      </c>
      <c r="D157" s="39">
        <v>2.0</v>
      </c>
      <c r="E157" s="28"/>
      <c r="F157" s="28"/>
      <c r="G157" s="49"/>
      <c r="H157" s="2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9">
        <v>153.0</v>
      </c>
      <c r="B158" s="40" t="s">
        <v>179</v>
      </c>
      <c r="C158" s="41" t="s">
        <v>33</v>
      </c>
      <c r="D158" s="39">
        <v>2.0</v>
      </c>
      <c r="E158" s="28"/>
      <c r="F158" s="28"/>
      <c r="G158" s="49"/>
      <c r="H158" s="2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9">
        <v>154.0</v>
      </c>
      <c r="B159" s="40" t="s">
        <v>180</v>
      </c>
      <c r="C159" s="41" t="s">
        <v>33</v>
      </c>
      <c r="D159" s="39">
        <v>2.0</v>
      </c>
      <c r="E159" s="28"/>
      <c r="F159" s="28"/>
      <c r="G159" s="49"/>
      <c r="H159" s="2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9">
        <v>155.0</v>
      </c>
      <c r="B160" s="40" t="s">
        <v>181</v>
      </c>
      <c r="C160" s="41" t="s">
        <v>33</v>
      </c>
      <c r="D160" s="39">
        <v>2.0</v>
      </c>
      <c r="E160" s="28"/>
      <c r="F160" s="28"/>
      <c r="G160" s="49"/>
      <c r="H160" s="2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9">
        <v>156.0</v>
      </c>
      <c r="B161" s="40" t="s">
        <v>182</v>
      </c>
      <c r="C161" s="41" t="s">
        <v>33</v>
      </c>
      <c r="D161" s="39">
        <v>2.0</v>
      </c>
      <c r="E161" s="28"/>
      <c r="F161" s="28"/>
      <c r="G161" s="49"/>
      <c r="H161" s="2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9">
        <v>157.0</v>
      </c>
      <c r="B162" s="40" t="s">
        <v>183</v>
      </c>
      <c r="C162" s="41" t="s">
        <v>33</v>
      </c>
      <c r="D162" s="39">
        <v>2.0</v>
      </c>
      <c r="E162" s="28"/>
      <c r="F162" s="28"/>
      <c r="G162" s="49"/>
      <c r="H162" s="2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9">
        <v>158.0</v>
      </c>
      <c r="B163" s="40" t="s">
        <v>184</v>
      </c>
      <c r="C163" s="41" t="s">
        <v>33</v>
      </c>
      <c r="D163" s="39">
        <v>2.0</v>
      </c>
      <c r="E163" s="28"/>
      <c r="F163" s="28"/>
      <c r="G163" s="49"/>
      <c r="H163" s="2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9">
        <v>159.0</v>
      </c>
      <c r="B164" s="40" t="s">
        <v>185</v>
      </c>
      <c r="C164" s="41" t="s">
        <v>33</v>
      </c>
      <c r="D164" s="39">
        <v>2.0</v>
      </c>
      <c r="E164" s="28"/>
      <c r="F164" s="28"/>
      <c r="G164" s="49"/>
      <c r="H164" s="2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9">
        <v>160.0</v>
      </c>
      <c r="B165" s="40" t="s">
        <v>186</v>
      </c>
      <c r="C165" s="41" t="s">
        <v>33</v>
      </c>
      <c r="D165" s="39">
        <v>2.0</v>
      </c>
      <c r="E165" s="28"/>
      <c r="F165" s="28"/>
      <c r="G165" s="49"/>
      <c r="H165" s="2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9">
        <v>161.0</v>
      </c>
      <c r="B166" s="40" t="s">
        <v>187</v>
      </c>
      <c r="C166" s="41" t="s">
        <v>33</v>
      </c>
      <c r="D166" s="39">
        <v>2.0</v>
      </c>
      <c r="E166" s="28"/>
      <c r="F166" s="28"/>
      <c r="G166" s="49"/>
      <c r="H166" s="2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9">
        <v>162.0</v>
      </c>
      <c r="B167" s="40" t="s">
        <v>188</v>
      </c>
      <c r="C167" s="41" t="s">
        <v>33</v>
      </c>
      <c r="D167" s="39">
        <v>2.0</v>
      </c>
      <c r="E167" s="28"/>
      <c r="F167" s="28"/>
      <c r="G167" s="49"/>
      <c r="H167" s="2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9">
        <v>163.0</v>
      </c>
      <c r="B168" s="40" t="s">
        <v>189</v>
      </c>
      <c r="C168" s="41" t="s">
        <v>33</v>
      </c>
      <c r="D168" s="39">
        <v>2.0</v>
      </c>
      <c r="E168" s="28"/>
      <c r="F168" s="28"/>
      <c r="G168" s="49"/>
      <c r="H168" s="2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9">
        <v>164.0</v>
      </c>
      <c r="B169" s="40" t="s">
        <v>190</v>
      </c>
      <c r="C169" s="41" t="s">
        <v>33</v>
      </c>
      <c r="D169" s="39">
        <v>2.0</v>
      </c>
      <c r="E169" s="28"/>
      <c r="F169" s="28"/>
      <c r="G169" s="49"/>
      <c r="H169" s="2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9">
        <v>165.0</v>
      </c>
      <c r="B170" s="40" t="s">
        <v>191</v>
      </c>
      <c r="C170" s="41" t="s">
        <v>33</v>
      </c>
      <c r="D170" s="39">
        <v>2.0</v>
      </c>
      <c r="E170" s="28"/>
      <c r="F170" s="28"/>
      <c r="G170" s="49"/>
      <c r="H170" s="2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9">
        <v>166.0</v>
      </c>
      <c r="B171" s="40" t="s">
        <v>192</v>
      </c>
      <c r="C171" s="41" t="s">
        <v>33</v>
      </c>
      <c r="D171" s="39">
        <v>2.0</v>
      </c>
      <c r="E171" s="28"/>
      <c r="F171" s="28"/>
      <c r="G171" s="49"/>
      <c r="H171" s="2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9">
        <v>167.0</v>
      </c>
      <c r="B172" s="40" t="s">
        <v>193</v>
      </c>
      <c r="C172" s="41" t="s">
        <v>33</v>
      </c>
      <c r="D172" s="39">
        <v>2.0</v>
      </c>
      <c r="E172" s="28"/>
      <c r="F172" s="28"/>
      <c r="G172" s="49"/>
      <c r="H172" s="2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9">
        <v>168.0</v>
      </c>
      <c r="B173" s="40" t="s">
        <v>194</v>
      </c>
      <c r="C173" s="41" t="s">
        <v>33</v>
      </c>
      <c r="D173" s="39">
        <v>2.0</v>
      </c>
      <c r="E173" s="28"/>
      <c r="F173" s="28"/>
      <c r="G173" s="49"/>
      <c r="H173" s="2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9">
        <v>169.0</v>
      </c>
      <c r="B174" s="40" t="s">
        <v>195</v>
      </c>
      <c r="C174" s="41" t="s">
        <v>33</v>
      </c>
      <c r="D174" s="39">
        <v>2.0</v>
      </c>
      <c r="E174" s="28"/>
      <c r="F174" s="28"/>
      <c r="G174" s="49"/>
      <c r="H174" s="2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9">
        <v>170.0</v>
      </c>
      <c r="B175" s="40" t="s">
        <v>196</v>
      </c>
      <c r="C175" s="41" t="s">
        <v>33</v>
      </c>
      <c r="D175" s="39">
        <v>2.0</v>
      </c>
      <c r="E175" s="28"/>
      <c r="F175" s="28"/>
      <c r="G175" s="49"/>
      <c r="H175" s="2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9">
        <v>171.0</v>
      </c>
      <c r="B176" s="40" t="s">
        <v>197</v>
      </c>
      <c r="C176" s="41" t="s">
        <v>33</v>
      </c>
      <c r="D176" s="39">
        <v>2.0</v>
      </c>
      <c r="E176" s="28"/>
      <c r="F176" s="28"/>
      <c r="G176" s="49"/>
      <c r="H176" s="2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9">
        <v>172.0</v>
      </c>
      <c r="B177" s="40" t="s">
        <v>198</v>
      </c>
      <c r="C177" s="41" t="s">
        <v>33</v>
      </c>
      <c r="D177" s="39">
        <v>2.0</v>
      </c>
      <c r="E177" s="28"/>
      <c r="F177" s="28"/>
      <c r="G177" s="49"/>
      <c r="H177" s="2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9">
        <v>173.0</v>
      </c>
      <c r="B178" s="40" t="s">
        <v>199</v>
      </c>
      <c r="C178" s="41" t="s">
        <v>33</v>
      </c>
      <c r="D178" s="39">
        <v>2.0</v>
      </c>
      <c r="E178" s="28"/>
      <c r="F178" s="28"/>
      <c r="G178" s="49"/>
      <c r="H178" s="2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9">
        <v>174.0</v>
      </c>
      <c r="B179" s="40" t="s">
        <v>200</v>
      </c>
      <c r="C179" s="41" t="s">
        <v>33</v>
      </c>
      <c r="D179" s="39">
        <v>2.0</v>
      </c>
      <c r="E179" s="28"/>
      <c r="F179" s="28"/>
      <c r="G179" s="49"/>
      <c r="H179" s="2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9">
        <v>175.0</v>
      </c>
      <c r="B180" s="40" t="s">
        <v>201</v>
      </c>
      <c r="C180" s="41" t="s">
        <v>33</v>
      </c>
      <c r="D180" s="39">
        <v>2.0</v>
      </c>
      <c r="E180" s="28"/>
      <c r="F180" s="28"/>
      <c r="G180" s="49"/>
      <c r="H180" s="2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9">
        <v>176.0</v>
      </c>
      <c r="B181" s="40" t="s">
        <v>202</v>
      </c>
      <c r="C181" s="41" t="s">
        <v>33</v>
      </c>
      <c r="D181" s="39">
        <v>2.0</v>
      </c>
      <c r="E181" s="28"/>
      <c r="F181" s="28"/>
      <c r="G181" s="49"/>
      <c r="H181" s="2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9">
        <v>177.0</v>
      </c>
      <c r="B182" s="40" t="s">
        <v>203</v>
      </c>
      <c r="C182" s="41" t="s">
        <v>33</v>
      </c>
      <c r="D182" s="39">
        <v>2.0</v>
      </c>
      <c r="E182" s="28"/>
      <c r="F182" s="28"/>
      <c r="G182" s="49"/>
      <c r="H182" s="2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9">
        <v>178.0</v>
      </c>
      <c r="B183" s="40" t="s">
        <v>204</v>
      </c>
      <c r="C183" s="41" t="s">
        <v>33</v>
      </c>
      <c r="D183" s="39">
        <v>2.0</v>
      </c>
      <c r="E183" s="28"/>
      <c r="F183" s="28"/>
      <c r="G183" s="49"/>
      <c r="H183" s="2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9">
        <v>179.0</v>
      </c>
      <c r="B184" s="40" t="s">
        <v>205</v>
      </c>
      <c r="C184" s="41" t="s">
        <v>33</v>
      </c>
      <c r="D184" s="39">
        <v>2.0</v>
      </c>
      <c r="E184" s="28"/>
      <c r="F184" s="28"/>
      <c r="G184" s="49"/>
      <c r="H184" s="2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9">
        <v>180.0</v>
      </c>
      <c r="B185" s="40" t="s">
        <v>206</v>
      </c>
      <c r="C185" s="41" t="s">
        <v>33</v>
      </c>
      <c r="D185" s="39">
        <v>2.0</v>
      </c>
      <c r="E185" s="28"/>
      <c r="F185" s="28"/>
      <c r="G185" s="49"/>
      <c r="H185" s="2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9">
        <v>181.0</v>
      </c>
      <c r="B186" s="40" t="s">
        <v>207</v>
      </c>
      <c r="C186" s="41" t="s">
        <v>33</v>
      </c>
      <c r="D186" s="39">
        <v>2.0</v>
      </c>
      <c r="E186" s="28"/>
      <c r="F186" s="28"/>
      <c r="G186" s="49"/>
      <c r="H186" s="2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9">
        <v>182.0</v>
      </c>
      <c r="B187" s="40" t="s">
        <v>208</v>
      </c>
      <c r="C187" s="41" t="s">
        <v>33</v>
      </c>
      <c r="D187" s="39">
        <v>2.0</v>
      </c>
      <c r="E187" s="28"/>
      <c r="F187" s="28"/>
      <c r="G187" s="49"/>
      <c r="H187" s="2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9">
        <v>183.0</v>
      </c>
      <c r="B188" s="40" t="s">
        <v>209</v>
      </c>
      <c r="C188" s="41" t="s">
        <v>33</v>
      </c>
      <c r="D188" s="39">
        <v>2.0</v>
      </c>
      <c r="E188" s="28"/>
      <c r="F188" s="28"/>
      <c r="G188" s="49"/>
      <c r="H188" s="2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9">
        <v>184.0</v>
      </c>
      <c r="B189" s="40" t="s">
        <v>210</v>
      </c>
      <c r="C189" s="41" t="s">
        <v>33</v>
      </c>
      <c r="D189" s="39">
        <v>2.0</v>
      </c>
      <c r="E189" s="28"/>
      <c r="F189" s="28"/>
      <c r="G189" s="49"/>
      <c r="H189" s="2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9">
        <v>185.0</v>
      </c>
      <c r="B190" s="40" t="s">
        <v>211</v>
      </c>
      <c r="C190" s="41" t="s">
        <v>33</v>
      </c>
      <c r="D190" s="39">
        <v>2.0</v>
      </c>
      <c r="E190" s="28"/>
      <c r="F190" s="28"/>
      <c r="G190" s="49"/>
      <c r="H190" s="2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9">
        <v>186.0</v>
      </c>
      <c r="B191" s="40" t="s">
        <v>212</v>
      </c>
      <c r="C191" s="41" t="s">
        <v>33</v>
      </c>
      <c r="D191" s="39">
        <v>2.0</v>
      </c>
      <c r="E191" s="28"/>
      <c r="F191" s="28"/>
      <c r="G191" s="49"/>
      <c r="H191" s="2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9">
        <v>187.0</v>
      </c>
      <c r="B192" s="40" t="s">
        <v>213</v>
      </c>
      <c r="C192" s="41" t="s">
        <v>33</v>
      </c>
      <c r="D192" s="39">
        <v>2.0</v>
      </c>
      <c r="E192" s="28"/>
      <c r="F192" s="28"/>
      <c r="G192" s="49"/>
      <c r="H192" s="2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9">
        <v>188.0</v>
      </c>
      <c r="B193" s="40" t="s">
        <v>214</v>
      </c>
      <c r="C193" s="41" t="s">
        <v>33</v>
      </c>
      <c r="D193" s="39">
        <v>2.0</v>
      </c>
      <c r="E193" s="28"/>
      <c r="F193" s="28"/>
      <c r="G193" s="49"/>
      <c r="H193" s="2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9">
        <v>189.0</v>
      </c>
      <c r="B194" s="40" t="s">
        <v>215</v>
      </c>
      <c r="C194" s="41" t="s">
        <v>33</v>
      </c>
      <c r="D194" s="39">
        <v>2.0</v>
      </c>
      <c r="E194" s="28"/>
      <c r="F194" s="28"/>
      <c r="G194" s="49"/>
      <c r="H194" s="2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9">
        <v>190.0</v>
      </c>
      <c r="B195" s="40" t="s">
        <v>216</v>
      </c>
      <c r="C195" s="41" t="s">
        <v>33</v>
      </c>
      <c r="D195" s="39">
        <v>2.0</v>
      </c>
      <c r="E195" s="28"/>
      <c r="F195" s="28"/>
      <c r="G195" s="49"/>
      <c r="H195" s="2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9">
        <v>191.0</v>
      </c>
      <c r="B196" s="40" t="s">
        <v>217</v>
      </c>
      <c r="C196" s="41" t="s">
        <v>33</v>
      </c>
      <c r="D196" s="39">
        <v>2.0</v>
      </c>
      <c r="E196" s="28"/>
      <c r="F196" s="28"/>
      <c r="G196" s="49"/>
      <c r="H196" s="2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9">
        <v>192.0</v>
      </c>
      <c r="B197" s="40" t="s">
        <v>218</v>
      </c>
      <c r="C197" s="41" t="s">
        <v>33</v>
      </c>
      <c r="D197" s="39">
        <v>2.0</v>
      </c>
      <c r="E197" s="28"/>
      <c r="F197" s="28"/>
      <c r="G197" s="49"/>
      <c r="H197" s="2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9">
        <v>193.0</v>
      </c>
      <c r="B198" s="40" t="s">
        <v>219</v>
      </c>
      <c r="C198" s="41" t="s">
        <v>33</v>
      </c>
      <c r="D198" s="39">
        <v>2.0</v>
      </c>
      <c r="E198" s="28"/>
      <c r="F198" s="28"/>
      <c r="G198" s="49"/>
      <c r="H198" s="2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9">
        <v>194.0</v>
      </c>
      <c r="B199" s="40" t="s">
        <v>220</v>
      </c>
      <c r="C199" s="41" t="s">
        <v>33</v>
      </c>
      <c r="D199" s="39">
        <v>2.0</v>
      </c>
      <c r="E199" s="28"/>
      <c r="F199" s="28"/>
      <c r="G199" s="49"/>
      <c r="H199" s="2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9">
        <v>195.0</v>
      </c>
      <c r="B200" s="40" t="s">
        <v>221</v>
      </c>
      <c r="C200" s="41" t="s">
        <v>33</v>
      </c>
      <c r="D200" s="39">
        <v>2.0</v>
      </c>
      <c r="E200" s="28"/>
      <c r="F200" s="28"/>
      <c r="G200" s="49"/>
      <c r="H200" s="2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9">
        <v>196.0</v>
      </c>
      <c r="B201" s="40" t="s">
        <v>222</v>
      </c>
      <c r="C201" s="41" t="s">
        <v>33</v>
      </c>
      <c r="D201" s="39">
        <v>2.0</v>
      </c>
      <c r="E201" s="28"/>
      <c r="F201" s="28"/>
      <c r="G201" s="49"/>
      <c r="H201" s="2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9">
        <v>197.0</v>
      </c>
      <c r="B202" s="40" t="s">
        <v>223</v>
      </c>
      <c r="C202" s="41" t="s">
        <v>33</v>
      </c>
      <c r="D202" s="39">
        <v>2.0</v>
      </c>
      <c r="E202" s="28"/>
      <c r="F202" s="28"/>
      <c r="G202" s="49"/>
      <c r="H202" s="2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9">
        <v>198.0</v>
      </c>
      <c r="B203" s="40" t="s">
        <v>224</v>
      </c>
      <c r="C203" s="41" t="s">
        <v>33</v>
      </c>
      <c r="D203" s="39">
        <v>2.0</v>
      </c>
      <c r="E203" s="28"/>
      <c r="F203" s="28"/>
      <c r="G203" s="49"/>
      <c r="H203" s="2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9">
        <v>199.0</v>
      </c>
      <c r="B204" s="40" t="s">
        <v>225</v>
      </c>
      <c r="C204" s="41" t="s">
        <v>33</v>
      </c>
      <c r="D204" s="39">
        <v>2.0</v>
      </c>
      <c r="E204" s="28"/>
      <c r="F204" s="28"/>
      <c r="G204" s="49"/>
      <c r="H204" s="2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9">
        <v>200.0</v>
      </c>
      <c r="B205" s="40" t="s">
        <v>226</v>
      </c>
      <c r="C205" s="41" t="s">
        <v>33</v>
      </c>
      <c r="D205" s="39">
        <v>2.0</v>
      </c>
      <c r="E205" s="28"/>
      <c r="F205" s="28"/>
      <c r="G205" s="49"/>
      <c r="H205" s="2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9">
        <v>201.0</v>
      </c>
      <c r="B206" s="40" t="s">
        <v>227</v>
      </c>
      <c r="C206" s="41" t="s">
        <v>33</v>
      </c>
      <c r="D206" s="39">
        <v>2.0</v>
      </c>
      <c r="E206" s="28"/>
      <c r="F206" s="28"/>
      <c r="G206" s="49"/>
      <c r="H206" s="2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9">
        <v>202.0</v>
      </c>
      <c r="B207" s="40" t="s">
        <v>228</v>
      </c>
      <c r="C207" s="41" t="s">
        <v>33</v>
      </c>
      <c r="D207" s="39">
        <v>2.0</v>
      </c>
      <c r="E207" s="28"/>
      <c r="F207" s="28"/>
      <c r="G207" s="49"/>
      <c r="H207" s="2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9">
        <v>203.0</v>
      </c>
      <c r="B208" s="40" t="s">
        <v>229</v>
      </c>
      <c r="C208" s="41" t="s">
        <v>24</v>
      </c>
      <c r="D208" s="39">
        <v>3.0</v>
      </c>
      <c r="E208" s="28"/>
      <c r="F208" s="28"/>
      <c r="G208" s="49"/>
      <c r="H208" s="2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9">
        <v>204.0</v>
      </c>
      <c r="B209" s="40" t="s">
        <v>230</v>
      </c>
      <c r="C209" s="41" t="s">
        <v>31</v>
      </c>
      <c r="D209" s="39">
        <v>3.0</v>
      </c>
      <c r="E209" s="28"/>
      <c r="F209" s="28"/>
      <c r="G209" s="49"/>
      <c r="H209" s="2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9">
        <v>205.0</v>
      </c>
      <c r="B210" s="40" t="s">
        <v>231</v>
      </c>
      <c r="C210" s="41" t="s">
        <v>33</v>
      </c>
      <c r="D210" s="39">
        <v>3.0</v>
      </c>
      <c r="E210" s="28"/>
      <c r="F210" s="28"/>
      <c r="G210" s="49"/>
      <c r="H210" s="2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9">
        <v>206.0</v>
      </c>
      <c r="B211" s="40" t="s">
        <v>232</v>
      </c>
      <c r="C211" s="41" t="s">
        <v>33</v>
      </c>
      <c r="D211" s="39">
        <v>3.0</v>
      </c>
      <c r="E211" s="28"/>
      <c r="F211" s="28"/>
      <c r="G211" s="49"/>
      <c r="H211" s="2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9">
        <v>207.0</v>
      </c>
      <c r="B212" s="40" t="s">
        <v>233</v>
      </c>
      <c r="C212" s="41" t="s">
        <v>33</v>
      </c>
      <c r="D212" s="39">
        <v>3.0</v>
      </c>
      <c r="E212" s="28"/>
      <c r="F212" s="28"/>
      <c r="G212" s="49"/>
      <c r="H212" s="2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9">
        <v>208.0</v>
      </c>
      <c r="B213" s="40" t="s">
        <v>234</v>
      </c>
      <c r="C213" s="41" t="s">
        <v>33</v>
      </c>
      <c r="D213" s="39">
        <v>3.0</v>
      </c>
      <c r="E213" s="28"/>
      <c r="F213" s="28"/>
      <c r="G213" s="49"/>
      <c r="H213" s="2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9">
        <v>209.0</v>
      </c>
      <c r="B214" s="40" t="s">
        <v>235</v>
      </c>
      <c r="C214" s="41" t="s">
        <v>33</v>
      </c>
      <c r="D214" s="39">
        <v>3.0</v>
      </c>
      <c r="E214" s="28"/>
      <c r="F214" s="28"/>
      <c r="G214" s="49"/>
      <c r="H214" s="2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9">
        <v>210.0</v>
      </c>
      <c r="B215" s="40" t="s">
        <v>236</v>
      </c>
      <c r="C215" s="41" t="s">
        <v>33</v>
      </c>
      <c r="D215" s="39">
        <v>3.0</v>
      </c>
      <c r="E215" s="28"/>
      <c r="F215" s="28"/>
      <c r="G215" s="49"/>
      <c r="H215" s="2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9">
        <v>211.0</v>
      </c>
      <c r="B216" s="40" t="s">
        <v>237</v>
      </c>
      <c r="C216" s="41" t="s">
        <v>33</v>
      </c>
      <c r="D216" s="39">
        <v>3.0</v>
      </c>
      <c r="E216" s="28"/>
      <c r="F216" s="28"/>
      <c r="G216" s="49"/>
      <c r="H216" s="2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9">
        <v>212.0</v>
      </c>
      <c r="B217" s="40" t="s">
        <v>238</v>
      </c>
      <c r="C217" s="41" t="s">
        <v>33</v>
      </c>
      <c r="D217" s="39">
        <v>3.0</v>
      </c>
      <c r="E217" s="28"/>
      <c r="F217" s="28"/>
      <c r="G217" s="49"/>
      <c r="H217" s="2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9">
        <v>213.0</v>
      </c>
      <c r="B218" s="40" t="s">
        <v>239</v>
      </c>
      <c r="C218" s="41" t="s">
        <v>33</v>
      </c>
      <c r="D218" s="39">
        <v>3.0</v>
      </c>
      <c r="E218" s="28"/>
      <c r="F218" s="28"/>
      <c r="G218" s="49"/>
      <c r="H218" s="2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9">
        <v>214.0</v>
      </c>
      <c r="B219" s="40" t="s">
        <v>240</v>
      </c>
      <c r="C219" s="41" t="s">
        <v>33</v>
      </c>
      <c r="D219" s="39">
        <v>3.0</v>
      </c>
      <c r="E219" s="28"/>
      <c r="F219" s="28"/>
      <c r="G219" s="49"/>
      <c r="H219" s="2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9">
        <v>215.0</v>
      </c>
      <c r="B220" s="40" t="s">
        <v>241</v>
      </c>
      <c r="C220" s="41" t="s">
        <v>33</v>
      </c>
      <c r="D220" s="39">
        <v>3.0</v>
      </c>
      <c r="E220" s="28"/>
      <c r="F220" s="28"/>
      <c r="G220" s="49"/>
      <c r="H220" s="2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9">
        <v>216.0</v>
      </c>
      <c r="B221" s="40" t="s">
        <v>242</v>
      </c>
      <c r="C221" s="41" t="s">
        <v>33</v>
      </c>
      <c r="D221" s="39">
        <v>3.0</v>
      </c>
      <c r="E221" s="28"/>
      <c r="F221" s="28"/>
      <c r="G221" s="49"/>
      <c r="H221" s="2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9">
        <v>217.0</v>
      </c>
      <c r="B222" s="40" t="s">
        <v>243</v>
      </c>
      <c r="C222" s="41" t="s">
        <v>33</v>
      </c>
      <c r="D222" s="39">
        <v>3.0</v>
      </c>
      <c r="E222" s="28"/>
      <c r="F222" s="28"/>
      <c r="G222" s="49"/>
      <c r="H222" s="2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9">
        <v>218.0</v>
      </c>
      <c r="B223" s="40" t="s">
        <v>244</v>
      </c>
      <c r="C223" s="41" t="s">
        <v>33</v>
      </c>
      <c r="D223" s="39">
        <v>3.0</v>
      </c>
      <c r="E223" s="28"/>
      <c r="F223" s="28"/>
      <c r="G223" s="49"/>
      <c r="H223" s="2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9">
        <v>219.0</v>
      </c>
      <c r="B224" s="40" t="s">
        <v>245</v>
      </c>
      <c r="C224" s="41" t="s">
        <v>33</v>
      </c>
      <c r="D224" s="39">
        <v>3.0</v>
      </c>
      <c r="E224" s="28"/>
      <c r="F224" s="28"/>
      <c r="G224" s="49"/>
      <c r="H224" s="2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9">
        <v>220.0</v>
      </c>
      <c r="B225" s="40" t="s">
        <v>246</v>
      </c>
      <c r="C225" s="41" t="s">
        <v>33</v>
      </c>
      <c r="D225" s="39">
        <v>3.0</v>
      </c>
      <c r="E225" s="28"/>
      <c r="F225" s="28"/>
      <c r="G225" s="49"/>
      <c r="H225" s="2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9">
        <v>221.0</v>
      </c>
      <c r="B226" s="40" t="s">
        <v>247</v>
      </c>
      <c r="C226" s="41" t="s">
        <v>33</v>
      </c>
      <c r="D226" s="39">
        <v>3.0</v>
      </c>
      <c r="E226" s="28"/>
      <c r="F226" s="28"/>
      <c r="G226" s="49"/>
      <c r="H226" s="2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9">
        <v>222.0</v>
      </c>
      <c r="B227" s="40" t="s">
        <v>248</v>
      </c>
      <c r="C227" s="41" t="s">
        <v>33</v>
      </c>
      <c r="D227" s="39">
        <v>3.0</v>
      </c>
      <c r="E227" s="28"/>
      <c r="F227" s="28"/>
      <c r="G227" s="49"/>
      <c r="H227" s="2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9">
        <v>223.0</v>
      </c>
      <c r="B228" s="40" t="s">
        <v>249</v>
      </c>
      <c r="C228" s="41" t="s">
        <v>33</v>
      </c>
      <c r="D228" s="39">
        <v>3.0</v>
      </c>
      <c r="E228" s="28"/>
      <c r="F228" s="28"/>
      <c r="G228" s="49"/>
      <c r="H228" s="2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9">
        <v>224.0</v>
      </c>
      <c r="B229" s="40" t="s">
        <v>250</v>
      </c>
      <c r="C229" s="41" t="s">
        <v>33</v>
      </c>
      <c r="D229" s="39">
        <v>3.0</v>
      </c>
      <c r="E229" s="28"/>
      <c r="F229" s="28"/>
      <c r="G229" s="49"/>
      <c r="H229" s="2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9">
        <v>225.0</v>
      </c>
      <c r="B230" s="40" t="s">
        <v>251</v>
      </c>
      <c r="C230" s="41" t="s">
        <v>33</v>
      </c>
      <c r="D230" s="39">
        <v>3.0</v>
      </c>
      <c r="E230" s="28"/>
      <c r="F230" s="28"/>
      <c r="G230" s="49"/>
      <c r="H230" s="2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9">
        <v>226.0</v>
      </c>
      <c r="B231" s="40" t="s">
        <v>252</v>
      </c>
      <c r="C231" s="41" t="s">
        <v>33</v>
      </c>
      <c r="D231" s="39">
        <v>3.0</v>
      </c>
      <c r="E231" s="28"/>
      <c r="F231" s="28"/>
      <c r="G231" s="49"/>
      <c r="H231" s="2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9">
        <v>227.0</v>
      </c>
      <c r="B232" s="40" t="s">
        <v>253</v>
      </c>
      <c r="C232" s="41" t="s">
        <v>33</v>
      </c>
      <c r="D232" s="39">
        <v>3.0</v>
      </c>
      <c r="E232" s="28"/>
      <c r="F232" s="28"/>
      <c r="G232" s="49"/>
      <c r="H232" s="2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9">
        <v>228.0</v>
      </c>
      <c r="B233" s="40" t="s">
        <v>254</v>
      </c>
      <c r="C233" s="41" t="s">
        <v>33</v>
      </c>
      <c r="D233" s="39">
        <v>3.0</v>
      </c>
      <c r="E233" s="28"/>
      <c r="F233" s="28"/>
      <c r="G233" s="49"/>
      <c r="H233" s="2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9">
        <v>229.0</v>
      </c>
      <c r="B234" s="40" t="s">
        <v>255</v>
      </c>
      <c r="C234" s="41" t="s">
        <v>33</v>
      </c>
      <c r="D234" s="39">
        <v>3.0</v>
      </c>
      <c r="E234" s="28"/>
      <c r="F234" s="28"/>
      <c r="G234" s="49"/>
      <c r="H234" s="2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9">
        <v>230.0</v>
      </c>
      <c r="B235" s="40" t="s">
        <v>256</v>
      </c>
      <c r="C235" s="41" t="s">
        <v>33</v>
      </c>
      <c r="D235" s="39">
        <v>3.0</v>
      </c>
      <c r="E235" s="28"/>
      <c r="F235" s="28"/>
      <c r="G235" s="49"/>
      <c r="H235" s="2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9">
        <v>231.0</v>
      </c>
      <c r="B236" s="40" t="s">
        <v>257</v>
      </c>
      <c r="C236" s="41" t="s">
        <v>33</v>
      </c>
      <c r="D236" s="39">
        <v>3.0</v>
      </c>
      <c r="E236" s="28"/>
      <c r="F236" s="28"/>
      <c r="G236" s="49"/>
      <c r="H236" s="2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9">
        <v>232.0</v>
      </c>
      <c r="B237" s="40" t="s">
        <v>258</v>
      </c>
      <c r="C237" s="41" t="s">
        <v>33</v>
      </c>
      <c r="D237" s="39">
        <v>3.0</v>
      </c>
      <c r="E237" s="28"/>
      <c r="F237" s="28"/>
      <c r="G237" s="49"/>
      <c r="H237" s="2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9">
        <v>233.0</v>
      </c>
      <c r="B238" s="40" t="s">
        <v>259</v>
      </c>
      <c r="C238" s="41" t="s">
        <v>33</v>
      </c>
      <c r="D238" s="39">
        <v>3.0</v>
      </c>
      <c r="E238" s="28"/>
      <c r="F238" s="28"/>
      <c r="G238" s="49"/>
      <c r="H238" s="2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9">
        <v>234.0</v>
      </c>
      <c r="B239" s="40" t="s">
        <v>260</v>
      </c>
      <c r="C239" s="41" t="s">
        <v>33</v>
      </c>
      <c r="D239" s="39">
        <v>3.0</v>
      </c>
      <c r="E239" s="28"/>
      <c r="F239" s="28"/>
      <c r="G239" s="49"/>
      <c r="H239" s="2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9">
        <v>235.0</v>
      </c>
      <c r="B240" s="40" t="s">
        <v>261</v>
      </c>
      <c r="C240" s="41" t="s">
        <v>33</v>
      </c>
      <c r="D240" s="39">
        <v>3.0</v>
      </c>
      <c r="E240" s="28"/>
      <c r="F240" s="28"/>
      <c r="G240" s="49"/>
      <c r="H240" s="2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9">
        <v>236.0</v>
      </c>
      <c r="B241" s="40" t="s">
        <v>262</v>
      </c>
      <c r="C241" s="41" t="s">
        <v>33</v>
      </c>
      <c r="D241" s="39">
        <v>3.0</v>
      </c>
      <c r="E241" s="28"/>
      <c r="F241" s="28"/>
      <c r="G241" s="49"/>
      <c r="H241" s="2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9">
        <v>237.0</v>
      </c>
      <c r="B242" s="40" t="s">
        <v>263</v>
      </c>
      <c r="C242" s="41" t="s">
        <v>33</v>
      </c>
      <c r="D242" s="39">
        <v>3.0</v>
      </c>
      <c r="E242" s="28"/>
      <c r="F242" s="28"/>
      <c r="G242" s="49"/>
      <c r="H242" s="2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9">
        <v>238.0</v>
      </c>
      <c r="B243" s="40" t="s">
        <v>264</v>
      </c>
      <c r="C243" s="41" t="s">
        <v>33</v>
      </c>
      <c r="D243" s="39">
        <v>3.0</v>
      </c>
      <c r="E243" s="28"/>
      <c r="F243" s="28"/>
      <c r="G243" s="49"/>
      <c r="H243" s="2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9">
        <v>239.0</v>
      </c>
      <c r="B244" s="40" t="s">
        <v>265</v>
      </c>
      <c r="C244" s="41" t="s">
        <v>33</v>
      </c>
      <c r="D244" s="39">
        <v>3.0</v>
      </c>
      <c r="E244" s="28"/>
      <c r="F244" s="28"/>
      <c r="G244" s="49"/>
      <c r="H244" s="2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9">
        <v>240.0</v>
      </c>
      <c r="B245" s="40" t="s">
        <v>266</v>
      </c>
      <c r="C245" s="41" t="s">
        <v>33</v>
      </c>
      <c r="D245" s="39">
        <v>3.0</v>
      </c>
      <c r="E245" s="28"/>
      <c r="F245" s="28"/>
      <c r="G245" s="49"/>
      <c r="H245" s="2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9">
        <v>241.0</v>
      </c>
      <c r="B246" s="40" t="s">
        <v>267</v>
      </c>
      <c r="C246" s="41" t="s">
        <v>33</v>
      </c>
      <c r="D246" s="39">
        <v>3.0</v>
      </c>
      <c r="E246" s="28"/>
      <c r="F246" s="28"/>
      <c r="G246" s="49"/>
      <c r="H246" s="2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9">
        <v>242.0</v>
      </c>
      <c r="B247" s="40" t="s">
        <v>268</v>
      </c>
      <c r="C247" s="41" t="s">
        <v>33</v>
      </c>
      <c r="D247" s="39">
        <v>3.0</v>
      </c>
      <c r="E247" s="28"/>
      <c r="F247" s="28"/>
      <c r="G247" s="49"/>
      <c r="H247" s="2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9">
        <v>243.0</v>
      </c>
      <c r="B248" s="40" t="s">
        <v>269</v>
      </c>
      <c r="C248" s="41" t="s">
        <v>33</v>
      </c>
      <c r="D248" s="39">
        <v>3.0</v>
      </c>
      <c r="E248" s="28"/>
      <c r="F248" s="28"/>
      <c r="G248" s="49"/>
      <c r="H248" s="2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9">
        <v>244.0</v>
      </c>
      <c r="B249" s="40" t="s">
        <v>270</v>
      </c>
      <c r="C249" s="41" t="s">
        <v>24</v>
      </c>
      <c r="D249" s="39">
        <v>4.0</v>
      </c>
      <c r="E249" s="28"/>
      <c r="F249" s="28"/>
      <c r="G249" s="49"/>
      <c r="H249" s="2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9">
        <v>245.0</v>
      </c>
      <c r="B250" s="40" t="s">
        <v>271</v>
      </c>
      <c r="C250" s="41" t="s">
        <v>24</v>
      </c>
      <c r="D250" s="39">
        <v>4.0</v>
      </c>
      <c r="E250" s="28"/>
      <c r="F250" s="28"/>
      <c r="G250" s="49"/>
      <c r="H250" s="2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9">
        <v>246.0</v>
      </c>
      <c r="B251" s="40" t="s">
        <v>272</v>
      </c>
      <c r="C251" s="41" t="s">
        <v>24</v>
      </c>
      <c r="D251" s="39">
        <v>4.0</v>
      </c>
      <c r="E251" s="28"/>
      <c r="F251" s="28"/>
      <c r="G251" s="49"/>
      <c r="H251" s="2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9">
        <v>247.0</v>
      </c>
      <c r="B252" s="40" t="s">
        <v>273</v>
      </c>
      <c r="C252" s="41" t="s">
        <v>24</v>
      </c>
      <c r="D252" s="39">
        <v>4.0</v>
      </c>
      <c r="E252" s="28"/>
      <c r="F252" s="28"/>
      <c r="G252" s="49"/>
      <c r="H252" s="2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9">
        <v>248.0</v>
      </c>
      <c r="B253" s="40" t="s">
        <v>274</v>
      </c>
      <c r="C253" s="41" t="s">
        <v>24</v>
      </c>
      <c r="D253" s="39">
        <v>4.0</v>
      </c>
      <c r="E253" s="28"/>
      <c r="F253" s="28"/>
      <c r="G253" s="49"/>
      <c r="H253" s="2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9">
        <v>249.0</v>
      </c>
      <c r="B254" s="40" t="s">
        <v>275</v>
      </c>
      <c r="C254" s="41" t="s">
        <v>24</v>
      </c>
      <c r="D254" s="39">
        <v>4.0</v>
      </c>
      <c r="E254" s="28"/>
      <c r="F254" s="28"/>
      <c r="G254" s="49"/>
      <c r="H254" s="2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9">
        <v>250.0</v>
      </c>
      <c r="B255" s="40" t="s">
        <v>276</v>
      </c>
      <c r="C255" s="41" t="s">
        <v>33</v>
      </c>
      <c r="D255" s="39">
        <v>4.0</v>
      </c>
      <c r="E255" s="28"/>
      <c r="F255" s="28"/>
      <c r="G255" s="49"/>
      <c r="H255" s="2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9">
        <v>251.0</v>
      </c>
      <c r="B256" s="40" t="s">
        <v>277</v>
      </c>
      <c r="C256" s="41" t="s">
        <v>33</v>
      </c>
      <c r="D256" s="39">
        <v>4.0</v>
      </c>
      <c r="E256" s="28"/>
      <c r="F256" s="28"/>
      <c r="G256" s="49"/>
      <c r="H256" s="2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9">
        <v>252.0</v>
      </c>
      <c r="B257" s="40" t="s">
        <v>278</v>
      </c>
      <c r="C257" s="41" t="s">
        <v>33</v>
      </c>
      <c r="D257" s="39">
        <v>4.0</v>
      </c>
      <c r="E257" s="28"/>
      <c r="F257" s="28"/>
      <c r="G257" s="49"/>
      <c r="H257" s="2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9">
        <v>253.0</v>
      </c>
      <c r="B258" s="40" t="s">
        <v>279</v>
      </c>
      <c r="C258" s="41" t="s">
        <v>33</v>
      </c>
      <c r="D258" s="39">
        <v>4.0</v>
      </c>
      <c r="E258" s="28"/>
      <c r="F258" s="28"/>
      <c r="G258" s="49"/>
      <c r="H258" s="2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9">
        <v>254.0</v>
      </c>
      <c r="B259" s="40" t="s">
        <v>280</v>
      </c>
      <c r="C259" s="41" t="s">
        <v>33</v>
      </c>
      <c r="D259" s="39">
        <v>4.0</v>
      </c>
      <c r="E259" s="28"/>
      <c r="F259" s="28"/>
      <c r="G259" s="49"/>
      <c r="H259" s="2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9">
        <v>255.0</v>
      </c>
      <c r="B260" s="40" t="s">
        <v>281</v>
      </c>
      <c r="C260" s="41" t="s">
        <v>33</v>
      </c>
      <c r="D260" s="39">
        <v>4.0</v>
      </c>
      <c r="E260" s="28"/>
      <c r="F260" s="28"/>
      <c r="G260" s="49"/>
      <c r="H260" s="2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9">
        <v>256.0</v>
      </c>
      <c r="B261" s="40" t="s">
        <v>282</v>
      </c>
      <c r="C261" s="41" t="s">
        <v>33</v>
      </c>
      <c r="D261" s="39">
        <v>4.0</v>
      </c>
      <c r="E261" s="28"/>
      <c r="F261" s="28"/>
      <c r="G261" s="49"/>
      <c r="H261" s="2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9">
        <v>257.0</v>
      </c>
      <c r="B262" s="40" t="s">
        <v>283</v>
      </c>
      <c r="C262" s="41" t="s">
        <v>33</v>
      </c>
      <c r="D262" s="39">
        <v>4.0</v>
      </c>
      <c r="E262" s="28"/>
      <c r="F262" s="28"/>
      <c r="G262" s="49"/>
      <c r="H262" s="2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9">
        <v>258.0</v>
      </c>
      <c r="B263" s="40" t="s">
        <v>284</v>
      </c>
      <c r="C263" s="41" t="s">
        <v>33</v>
      </c>
      <c r="D263" s="39">
        <v>4.0</v>
      </c>
      <c r="E263" s="28"/>
      <c r="F263" s="28"/>
      <c r="G263" s="49"/>
      <c r="H263" s="2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9">
        <v>259.0</v>
      </c>
      <c r="B264" s="40" t="s">
        <v>285</v>
      </c>
      <c r="C264" s="41" t="s">
        <v>33</v>
      </c>
      <c r="D264" s="39">
        <v>4.0</v>
      </c>
      <c r="E264" s="28"/>
      <c r="F264" s="28"/>
      <c r="G264" s="49"/>
      <c r="H264" s="2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9">
        <v>260.0</v>
      </c>
      <c r="B265" s="40" t="s">
        <v>286</v>
      </c>
      <c r="C265" s="41" t="s">
        <v>33</v>
      </c>
      <c r="D265" s="39">
        <v>4.0</v>
      </c>
      <c r="E265" s="28"/>
      <c r="F265" s="28"/>
      <c r="G265" s="49"/>
      <c r="H265" s="2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9">
        <v>261.0</v>
      </c>
      <c r="B266" s="40" t="s">
        <v>287</v>
      </c>
      <c r="C266" s="41" t="s">
        <v>33</v>
      </c>
      <c r="D266" s="39">
        <v>4.0</v>
      </c>
      <c r="E266" s="28"/>
      <c r="F266" s="28"/>
      <c r="G266" s="49"/>
      <c r="H266" s="2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9">
        <v>262.0</v>
      </c>
      <c r="B267" s="40" t="s">
        <v>288</v>
      </c>
      <c r="C267" s="41" t="s">
        <v>33</v>
      </c>
      <c r="D267" s="39">
        <v>4.0</v>
      </c>
      <c r="E267" s="28"/>
      <c r="F267" s="28"/>
      <c r="G267" s="49"/>
      <c r="H267" s="2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9">
        <v>263.0</v>
      </c>
      <c r="B268" s="40" t="s">
        <v>289</v>
      </c>
      <c r="C268" s="41" t="s">
        <v>33</v>
      </c>
      <c r="D268" s="39">
        <v>4.0</v>
      </c>
      <c r="E268" s="28"/>
      <c r="F268" s="28"/>
      <c r="G268" s="49"/>
      <c r="H268" s="2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9">
        <v>264.0</v>
      </c>
      <c r="B269" s="40" t="s">
        <v>290</v>
      </c>
      <c r="C269" s="41" t="s">
        <v>33</v>
      </c>
      <c r="D269" s="39">
        <v>4.0</v>
      </c>
      <c r="E269" s="28"/>
      <c r="F269" s="28"/>
      <c r="G269" s="49"/>
      <c r="H269" s="2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9">
        <v>265.0</v>
      </c>
      <c r="B270" s="40" t="s">
        <v>291</v>
      </c>
      <c r="C270" s="41" t="s">
        <v>33</v>
      </c>
      <c r="D270" s="39">
        <v>4.0</v>
      </c>
      <c r="E270" s="28"/>
      <c r="F270" s="28"/>
      <c r="G270" s="49"/>
      <c r="H270" s="2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9">
        <v>266.0</v>
      </c>
      <c r="B271" s="40" t="s">
        <v>292</v>
      </c>
      <c r="C271" s="41" t="s">
        <v>33</v>
      </c>
      <c r="D271" s="39">
        <v>4.0</v>
      </c>
      <c r="E271" s="28"/>
      <c r="F271" s="28"/>
      <c r="G271" s="49"/>
      <c r="H271" s="2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9">
        <v>267.0</v>
      </c>
      <c r="B272" s="40" t="s">
        <v>293</v>
      </c>
      <c r="C272" s="41" t="s">
        <v>33</v>
      </c>
      <c r="D272" s="39">
        <v>4.0</v>
      </c>
      <c r="E272" s="28"/>
      <c r="F272" s="28"/>
      <c r="G272" s="49"/>
      <c r="H272" s="2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9">
        <v>268.0</v>
      </c>
      <c r="B273" s="40" t="s">
        <v>294</v>
      </c>
      <c r="C273" s="41" t="s">
        <v>33</v>
      </c>
      <c r="D273" s="39">
        <v>4.0</v>
      </c>
      <c r="E273" s="28"/>
      <c r="F273" s="28"/>
      <c r="G273" s="49"/>
      <c r="H273" s="2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9">
        <v>269.0</v>
      </c>
      <c r="B274" s="40" t="s">
        <v>295</v>
      </c>
      <c r="C274" s="41" t="s">
        <v>33</v>
      </c>
      <c r="D274" s="39">
        <v>4.0</v>
      </c>
      <c r="E274" s="28"/>
      <c r="F274" s="28"/>
      <c r="G274" s="49"/>
      <c r="H274" s="2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9">
        <v>270.0</v>
      </c>
      <c r="B275" s="40" t="s">
        <v>296</v>
      </c>
      <c r="C275" s="41" t="s">
        <v>33</v>
      </c>
      <c r="D275" s="39">
        <v>4.0</v>
      </c>
      <c r="E275" s="28"/>
      <c r="F275" s="28"/>
      <c r="G275" s="49"/>
      <c r="H275" s="2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9">
        <v>271.0</v>
      </c>
      <c r="B276" s="40" t="s">
        <v>297</v>
      </c>
      <c r="C276" s="41" t="s">
        <v>33</v>
      </c>
      <c r="D276" s="39">
        <v>4.0</v>
      </c>
      <c r="E276" s="28"/>
      <c r="F276" s="28"/>
      <c r="G276" s="49"/>
      <c r="H276" s="2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9">
        <v>272.0</v>
      </c>
      <c r="B277" s="40" t="s">
        <v>298</v>
      </c>
      <c r="C277" s="41" t="s">
        <v>33</v>
      </c>
      <c r="D277" s="39">
        <v>4.0</v>
      </c>
      <c r="E277" s="28"/>
      <c r="F277" s="28"/>
      <c r="G277" s="49"/>
      <c r="H277" s="2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9">
        <v>273.0</v>
      </c>
      <c r="B278" s="40" t="s">
        <v>299</v>
      </c>
      <c r="C278" s="41" t="s">
        <v>33</v>
      </c>
      <c r="D278" s="39">
        <v>4.0</v>
      </c>
      <c r="E278" s="28"/>
      <c r="F278" s="28"/>
      <c r="G278" s="49"/>
      <c r="H278" s="2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9">
        <v>274.0</v>
      </c>
      <c r="B279" s="40" t="s">
        <v>300</v>
      </c>
      <c r="C279" s="41" t="s">
        <v>33</v>
      </c>
      <c r="D279" s="39">
        <v>4.0</v>
      </c>
      <c r="E279" s="28"/>
      <c r="F279" s="28"/>
      <c r="G279" s="49"/>
      <c r="H279" s="2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9">
        <v>275.0</v>
      </c>
      <c r="B280" s="40" t="s">
        <v>301</v>
      </c>
      <c r="C280" s="41" t="s">
        <v>33</v>
      </c>
      <c r="D280" s="39">
        <v>4.0</v>
      </c>
      <c r="E280" s="28"/>
      <c r="F280" s="28"/>
      <c r="G280" s="49"/>
      <c r="H280" s="2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9">
        <v>276.0</v>
      </c>
      <c r="B281" s="40" t="s">
        <v>302</v>
      </c>
      <c r="C281" s="41" t="s">
        <v>33</v>
      </c>
      <c r="D281" s="39">
        <v>4.0</v>
      </c>
      <c r="E281" s="28"/>
      <c r="F281" s="28"/>
      <c r="G281" s="49"/>
      <c r="H281" s="2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9">
        <v>277.0</v>
      </c>
      <c r="B282" s="40" t="s">
        <v>303</v>
      </c>
      <c r="C282" s="41" t="s">
        <v>33</v>
      </c>
      <c r="D282" s="39">
        <v>4.0</v>
      </c>
      <c r="E282" s="28"/>
      <c r="F282" s="28"/>
      <c r="G282" s="49"/>
      <c r="H282" s="2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9">
        <v>278.0</v>
      </c>
      <c r="B283" s="40" t="s">
        <v>304</v>
      </c>
      <c r="C283" s="41" t="s">
        <v>33</v>
      </c>
      <c r="D283" s="39">
        <v>4.0</v>
      </c>
      <c r="E283" s="28"/>
      <c r="F283" s="28"/>
      <c r="G283" s="49"/>
      <c r="H283" s="2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9">
        <v>279.0</v>
      </c>
      <c r="B284" s="40" t="s">
        <v>305</v>
      </c>
      <c r="C284" s="41" t="s">
        <v>33</v>
      </c>
      <c r="D284" s="39">
        <v>4.0</v>
      </c>
      <c r="E284" s="28"/>
      <c r="F284" s="28"/>
      <c r="G284" s="49"/>
      <c r="H284" s="2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2">
    <mergeCell ref="A1:H2"/>
    <mergeCell ref="E3:F3"/>
  </mergeCells>
  <dataValidations>
    <dataValidation type="list" allowBlank="1" showDropDown="1" showErrorMessage="1" sqref="C6:C284">
      <formula1>"BLIS,BLIS-ACADEMIC TRACK,BSIT-CISCO"</formula1>
    </dataValidation>
    <dataValidation type="custom" allowBlank="1" showDropDown="1" sqref="A6:A284 D6:D284">
      <formula1>AND(ISNUMBER(A6),(NOT(OR(NOT(ISERROR(DATEVALUE(A6))), AND(ISNUMBER(A6), LEFT(CELL("format", A6))="D")))))</formula1>
    </dataValidation>
    <dataValidation type="list" allowBlank="1" showErrorMessage="1" sqref="G6:G284">
      <formula1>"GCASH,CASH"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7.75"/>
    <col customWidth="1" min="3" max="3" width="21.0"/>
    <col customWidth="1" min="4" max="4" width="8.63"/>
    <col customWidth="1" min="7" max="7" width="19.63"/>
  </cols>
  <sheetData>
    <row r="1">
      <c r="A1" s="47" t="s">
        <v>311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6"/>
      <c r="B3" s="17" t="s">
        <v>14</v>
      </c>
      <c r="C3" s="51">
        <f>SUM(E5:E283)</f>
        <v>0</v>
      </c>
      <c r="D3" s="16"/>
      <c r="E3" s="19" t="s">
        <v>15</v>
      </c>
      <c r="F3" s="19"/>
      <c r="G3" s="52">
        <f>(279*400)-C3</f>
        <v>111600</v>
      </c>
      <c r="H3" s="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3" t="s">
        <v>16</v>
      </c>
      <c r="B4" s="53" t="s">
        <v>17</v>
      </c>
      <c r="C4" s="53" t="s">
        <v>18</v>
      </c>
      <c r="D4" s="53" t="s">
        <v>19</v>
      </c>
      <c r="E4" s="53" t="s">
        <v>11</v>
      </c>
      <c r="F4" s="54" t="s">
        <v>20</v>
      </c>
      <c r="G4" s="54" t="s">
        <v>21</v>
      </c>
      <c r="H4" s="54" t="s">
        <v>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>
        <v>1.0</v>
      </c>
      <c r="B5" s="5" t="s">
        <v>23</v>
      </c>
      <c r="C5" s="5" t="s">
        <v>24</v>
      </c>
      <c r="D5" s="55">
        <v>1.0</v>
      </c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2.0</v>
      </c>
      <c r="B6" s="5" t="s">
        <v>25</v>
      </c>
      <c r="C6" s="5" t="s">
        <v>24</v>
      </c>
      <c r="D6" s="55">
        <v>1.0</v>
      </c>
      <c r="E6" s="14"/>
      <c r="F6" s="14"/>
      <c r="G6" s="14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3.0</v>
      </c>
      <c r="B7" s="5" t="s">
        <v>26</v>
      </c>
      <c r="C7" s="5" t="s">
        <v>24</v>
      </c>
      <c r="D7" s="55">
        <v>1.0</v>
      </c>
      <c r="E7" s="14"/>
      <c r="F7" s="14"/>
      <c r="G7" s="14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4.0</v>
      </c>
      <c r="B8" s="5" t="s">
        <v>27</v>
      </c>
      <c r="C8" s="5" t="s">
        <v>24</v>
      </c>
      <c r="D8" s="55">
        <v>1.0</v>
      </c>
      <c r="E8" s="14"/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v>5.0</v>
      </c>
      <c r="B9" s="5" t="s">
        <v>28</v>
      </c>
      <c r="C9" s="5" t="s">
        <v>24</v>
      </c>
      <c r="D9" s="55">
        <v>1.0</v>
      </c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6.0</v>
      </c>
      <c r="B10" s="5" t="s">
        <v>29</v>
      </c>
      <c r="C10" s="5" t="s">
        <v>24</v>
      </c>
      <c r="D10" s="55">
        <v>1.0</v>
      </c>
      <c r="E10" s="14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>
        <v>7.0</v>
      </c>
      <c r="B11" s="5" t="s">
        <v>30</v>
      </c>
      <c r="C11" s="5" t="s">
        <v>31</v>
      </c>
      <c r="D11" s="55">
        <v>1.0</v>
      </c>
      <c r="E11" s="14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>
        <v>8.0</v>
      </c>
      <c r="B12" s="5" t="s">
        <v>32</v>
      </c>
      <c r="C12" s="5" t="s">
        <v>33</v>
      </c>
      <c r="D12" s="55">
        <v>1.0</v>
      </c>
      <c r="E12" s="14"/>
      <c r="F12" s="14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>
        <v>9.0</v>
      </c>
      <c r="B13" s="5" t="s">
        <v>34</v>
      </c>
      <c r="C13" s="5" t="s">
        <v>33</v>
      </c>
      <c r="D13" s="55">
        <v>1.0</v>
      </c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>
        <v>10.0</v>
      </c>
      <c r="B14" s="5" t="s">
        <v>35</v>
      </c>
      <c r="C14" s="5" t="s">
        <v>33</v>
      </c>
      <c r="D14" s="55">
        <v>1.0</v>
      </c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>
        <v>11.0</v>
      </c>
      <c r="B15" s="5" t="s">
        <v>36</v>
      </c>
      <c r="C15" s="5" t="s">
        <v>33</v>
      </c>
      <c r="D15" s="55">
        <v>1.0</v>
      </c>
      <c r="E15" s="14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>
        <v>12.0</v>
      </c>
      <c r="B16" s="5" t="s">
        <v>37</v>
      </c>
      <c r="C16" s="5" t="s">
        <v>33</v>
      </c>
      <c r="D16" s="55">
        <v>1.0</v>
      </c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>
        <v>13.0</v>
      </c>
      <c r="B17" s="5" t="s">
        <v>38</v>
      </c>
      <c r="C17" s="5" t="s">
        <v>33</v>
      </c>
      <c r="D17" s="55">
        <v>1.0</v>
      </c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>
        <v>14.0</v>
      </c>
      <c r="B18" s="5" t="s">
        <v>39</v>
      </c>
      <c r="C18" s="5" t="s">
        <v>33</v>
      </c>
      <c r="D18" s="55">
        <v>1.0</v>
      </c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>
        <v>15.0</v>
      </c>
      <c r="B19" s="5" t="s">
        <v>40</v>
      </c>
      <c r="C19" s="5" t="s">
        <v>33</v>
      </c>
      <c r="D19" s="55">
        <v>1.0</v>
      </c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>
        <v>16.0</v>
      </c>
      <c r="B20" s="5" t="s">
        <v>41</v>
      </c>
      <c r="C20" s="5" t="s">
        <v>33</v>
      </c>
      <c r="D20" s="55">
        <v>1.0</v>
      </c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>
        <v>17.0</v>
      </c>
      <c r="B21" s="5" t="s">
        <v>42</v>
      </c>
      <c r="C21" s="5" t="s">
        <v>33</v>
      </c>
      <c r="D21" s="55">
        <v>1.0</v>
      </c>
      <c r="E21" s="14"/>
      <c r="F21" s="14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>
        <v>18.0</v>
      </c>
      <c r="B22" s="5" t="s">
        <v>44</v>
      </c>
      <c r="C22" s="5" t="s">
        <v>33</v>
      </c>
      <c r="D22" s="55">
        <v>1.0</v>
      </c>
      <c r="E22" s="14"/>
      <c r="F22" s="14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>
        <v>19.0</v>
      </c>
      <c r="B23" s="5" t="s">
        <v>45</v>
      </c>
      <c r="C23" s="5" t="s">
        <v>33</v>
      </c>
      <c r="D23" s="55">
        <v>1.0</v>
      </c>
      <c r="E23" s="14"/>
      <c r="F23" s="14"/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>
        <v>20.0</v>
      </c>
      <c r="B24" s="5" t="s">
        <v>46</v>
      </c>
      <c r="C24" s="5" t="s">
        <v>33</v>
      </c>
      <c r="D24" s="55">
        <v>1.0</v>
      </c>
      <c r="E24" s="14"/>
      <c r="F24" s="14"/>
      <c r="G24" s="14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>
        <v>21.0</v>
      </c>
      <c r="B25" s="5" t="s">
        <v>47</v>
      </c>
      <c r="C25" s="5" t="s">
        <v>33</v>
      </c>
      <c r="D25" s="55">
        <v>1.0</v>
      </c>
      <c r="E25" s="14"/>
      <c r="F25" s="14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>
        <v>22.0</v>
      </c>
      <c r="B26" s="5" t="s">
        <v>48</v>
      </c>
      <c r="C26" s="5" t="s">
        <v>33</v>
      </c>
      <c r="D26" s="55">
        <v>1.0</v>
      </c>
      <c r="E26" s="14"/>
      <c r="F26" s="14"/>
      <c r="G26" s="14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>
        <v>23.0</v>
      </c>
      <c r="B27" s="5" t="s">
        <v>49</v>
      </c>
      <c r="C27" s="5" t="s">
        <v>33</v>
      </c>
      <c r="D27" s="55">
        <v>1.0</v>
      </c>
      <c r="E27" s="14"/>
      <c r="F27" s="14"/>
      <c r="G27" s="14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>
        <v>24.0</v>
      </c>
      <c r="B28" s="5" t="s">
        <v>50</v>
      </c>
      <c r="C28" s="5" t="s">
        <v>33</v>
      </c>
      <c r="D28" s="55">
        <v>1.0</v>
      </c>
      <c r="E28" s="14"/>
      <c r="F28" s="14"/>
      <c r="G28" s="14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>
        <v>25.0</v>
      </c>
      <c r="B29" s="5" t="s">
        <v>51</v>
      </c>
      <c r="C29" s="5" t="s">
        <v>33</v>
      </c>
      <c r="D29" s="55">
        <v>1.0</v>
      </c>
      <c r="E29" s="14"/>
      <c r="F29" s="14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>
        <v>26.0</v>
      </c>
      <c r="B30" s="5" t="s">
        <v>52</v>
      </c>
      <c r="C30" s="5" t="s">
        <v>33</v>
      </c>
      <c r="D30" s="55">
        <v>1.0</v>
      </c>
      <c r="E30" s="14"/>
      <c r="F30" s="14"/>
      <c r="G30" s="14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>
        <v>27.0</v>
      </c>
      <c r="B31" s="5" t="s">
        <v>53</v>
      </c>
      <c r="C31" s="5" t="s">
        <v>33</v>
      </c>
      <c r="D31" s="55">
        <v>1.0</v>
      </c>
      <c r="E31" s="14"/>
      <c r="F31" s="14"/>
      <c r="G31" s="14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>
        <v>28.0</v>
      </c>
      <c r="B32" s="5" t="s">
        <v>54</v>
      </c>
      <c r="C32" s="5" t="s">
        <v>33</v>
      </c>
      <c r="D32" s="55">
        <v>1.0</v>
      </c>
      <c r="E32" s="14"/>
      <c r="F32" s="14"/>
      <c r="G32" s="14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>
        <v>29.0</v>
      </c>
      <c r="B33" s="5" t="s">
        <v>55</v>
      </c>
      <c r="C33" s="5" t="s">
        <v>33</v>
      </c>
      <c r="D33" s="55">
        <v>1.0</v>
      </c>
      <c r="E33" s="14"/>
      <c r="F33" s="14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>
        <v>30.0</v>
      </c>
      <c r="B34" s="5" t="s">
        <v>56</v>
      </c>
      <c r="C34" s="5" t="s">
        <v>33</v>
      </c>
      <c r="D34" s="55">
        <v>1.0</v>
      </c>
      <c r="E34" s="14"/>
      <c r="F34" s="14"/>
      <c r="G34" s="14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>
        <v>31.0</v>
      </c>
      <c r="B35" s="5" t="s">
        <v>57</v>
      </c>
      <c r="C35" s="5" t="s">
        <v>33</v>
      </c>
      <c r="D35" s="55">
        <v>1.0</v>
      </c>
      <c r="E35" s="14"/>
      <c r="F35" s="14"/>
      <c r="G35" s="14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>
        <v>32.0</v>
      </c>
      <c r="B36" s="5" t="s">
        <v>58</v>
      </c>
      <c r="C36" s="5" t="s">
        <v>33</v>
      </c>
      <c r="D36" s="55">
        <v>1.0</v>
      </c>
      <c r="E36" s="14"/>
      <c r="F36" s="14"/>
      <c r="G36" s="14"/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>
        <v>33.0</v>
      </c>
      <c r="B37" s="5" t="s">
        <v>59</v>
      </c>
      <c r="C37" s="5" t="s">
        <v>33</v>
      </c>
      <c r="D37" s="55">
        <v>1.0</v>
      </c>
      <c r="E37" s="14"/>
      <c r="F37" s="14"/>
      <c r="G37" s="14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>
        <v>34.0</v>
      </c>
      <c r="B38" s="5" t="s">
        <v>60</v>
      </c>
      <c r="C38" s="5" t="s">
        <v>33</v>
      </c>
      <c r="D38" s="55">
        <v>1.0</v>
      </c>
      <c r="E38" s="14"/>
      <c r="F38" s="14"/>
      <c r="G38" s="14"/>
      <c r="H38" s="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>
        <v>35.0</v>
      </c>
      <c r="B39" s="5" t="s">
        <v>61</v>
      </c>
      <c r="C39" s="5" t="s">
        <v>33</v>
      </c>
      <c r="D39" s="55">
        <v>1.0</v>
      </c>
      <c r="E39" s="14"/>
      <c r="F39" s="14"/>
      <c r="G39" s="14"/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>
        <v>36.0</v>
      </c>
      <c r="B40" s="5" t="s">
        <v>62</v>
      </c>
      <c r="C40" s="5" t="s">
        <v>33</v>
      </c>
      <c r="D40" s="55">
        <v>1.0</v>
      </c>
      <c r="E40" s="14"/>
      <c r="F40" s="14"/>
      <c r="G40" s="14"/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">
        <v>37.0</v>
      </c>
      <c r="B41" s="5" t="s">
        <v>63</v>
      </c>
      <c r="C41" s="5" t="s">
        <v>33</v>
      </c>
      <c r="D41" s="55">
        <v>1.0</v>
      </c>
      <c r="E41" s="14"/>
      <c r="F41" s="14"/>
      <c r="G41" s="14"/>
      <c r="H41" s="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">
        <v>38.0</v>
      </c>
      <c r="B42" s="5" t="s">
        <v>64</v>
      </c>
      <c r="C42" s="5" t="s">
        <v>33</v>
      </c>
      <c r="D42" s="55">
        <v>1.0</v>
      </c>
      <c r="E42" s="14"/>
      <c r="F42" s="14"/>
      <c r="G42" s="14"/>
      <c r="H42" s="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>
        <v>39.0</v>
      </c>
      <c r="B43" s="5" t="s">
        <v>65</v>
      </c>
      <c r="C43" s="5" t="s">
        <v>33</v>
      </c>
      <c r="D43" s="55">
        <v>1.0</v>
      </c>
      <c r="E43" s="14"/>
      <c r="F43" s="14"/>
      <c r="G43" s="14"/>
      <c r="H43" s="1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>
        <v>40.0</v>
      </c>
      <c r="B44" s="5" t="s">
        <v>66</v>
      </c>
      <c r="C44" s="5" t="s">
        <v>33</v>
      </c>
      <c r="D44" s="55">
        <v>1.0</v>
      </c>
      <c r="E44" s="14"/>
      <c r="F44" s="14"/>
      <c r="G44" s="14"/>
      <c r="H44" s="1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6">
        <v>41.0</v>
      </c>
      <c r="B45" s="56" t="s">
        <v>67</v>
      </c>
      <c r="C45" s="56" t="s">
        <v>33</v>
      </c>
      <c r="D45" s="57">
        <v>1.0</v>
      </c>
      <c r="E45" s="14"/>
      <c r="F45" s="14"/>
      <c r="G45" s="14"/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6">
        <v>42.0</v>
      </c>
      <c r="B46" s="56" t="s">
        <v>68</v>
      </c>
      <c r="C46" s="56" t="s">
        <v>33</v>
      </c>
      <c r="D46" s="57">
        <v>1.0</v>
      </c>
      <c r="E46" s="14"/>
      <c r="F46" s="14"/>
      <c r="G46" s="14"/>
      <c r="H46" s="1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6">
        <v>43.0</v>
      </c>
      <c r="B47" s="56" t="s">
        <v>69</v>
      </c>
      <c r="C47" s="56" t="s">
        <v>33</v>
      </c>
      <c r="D47" s="57">
        <v>1.0</v>
      </c>
      <c r="E47" s="14"/>
      <c r="F47" s="14"/>
      <c r="G47" s="14"/>
      <c r="H47" s="1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6">
        <v>44.0</v>
      </c>
      <c r="B48" s="56" t="s">
        <v>70</v>
      </c>
      <c r="C48" s="56" t="s">
        <v>33</v>
      </c>
      <c r="D48" s="57">
        <v>1.0</v>
      </c>
      <c r="E48" s="14"/>
      <c r="F48" s="14"/>
      <c r="G48" s="14"/>
      <c r="H48" s="1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6">
        <v>45.0</v>
      </c>
      <c r="B49" s="56" t="s">
        <v>71</v>
      </c>
      <c r="C49" s="56" t="s">
        <v>33</v>
      </c>
      <c r="D49" s="57">
        <v>1.0</v>
      </c>
      <c r="E49" s="14"/>
      <c r="F49" s="14"/>
      <c r="G49" s="14"/>
      <c r="H49" s="1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6">
        <v>46.0</v>
      </c>
      <c r="B50" s="56" t="s">
        <v>72</v>
      </c>
      <c r="C50" s="56" t="s">
        <v>33</v>
      </c>
      <c r="D50" s="57">
        <v>1.0</v>
      </c>
      <c r="E50" s="14"/>
      <c r="F50" s="14"/>
      <c r="G50" s="14"/>
      <c r="H50" s="1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6">
        <v>47.0</v>
      </c>
      <c r="B51" s="56" t="s">
        <v>73</v>
      </c>
      <c r="C51" s="56" t="s">
        <v>33</v>
      </c>
      <c r="D51" s="57">
        <v>1.0</v>
      </c>
      <c r="E51" s="14"/>
      <c r="F51" s="14"/>
      <c r="G51" s="14"/>
      <c r="H51" s="1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6">
        <v>48.0</v>
      </c>
      <c r="B52" s="56" t="s">
        <v>74</v>
      </c>
      <c r="C52" s="56" t="s">
        <v>33</v>
      </c>
      <c r="D52" s="57">
        <v>1.0</v>
      </c>
      <c r="E52" s="14"/>
      <c r="F52" s="14"/>
      <c r="G52" s="14"/>
      <c r="H52" s="1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6">
        <v>49.0</v>
      </c>
      <c r="B53" s="56" t="s">
        <v>75</v>
      </c>
      <c r="C53" s="56" t="s">
        <v>33</v>
      </c>
      <c r="D53" s="57">
        <v>1.0</v>
      </c>
      <c r="E53" s="14"/>
      <c r="F53" s="14"/>
      <c r="G53" s="14"/>
      <c r="H53" s="1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6">
        <v>50.0</v>
      </c>
      <c r="B54" s="56" t="s">
        <v>76</v>
      </c>
      <c r="C54" s="56" t="s">
        <v>33</v>
      </c>
      <c r="D54" s="57">
        <v>1.0</v>
      </c>
      <c r="E54" s="14"/>
      <c r="F54" s="14"/>
      <c r="G54" s="14"/>
      <c r="H54" s="1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6">
        <v>51.0</v>
      </c>
      <c r="B55" s="56" t="s">
        <v>77</v>
      </c>
      <c r="C55" s="56" t="s">
        <v>33</v>
      </c>
      <c r="D55" s="57">
        <v>1.0</v>
      </c>
      <c r="E55" s="14"/>
      <c r="F55" s="14"/>
      <c r="G55" s="14"/>
      <c r="H55" s="1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6">
        <v>52.0</v>
      </c>
      <c r="B56" s="56" t="s">
        <v>78</v>
      </c>
      <c r="C56" s="56" t="s">
        <v>33</v>
      </c>
      <c r="D56" s="57">
        <v>1.0</v>
      </c>
      <c r="E56" s="14"/>
      <c r="F56" s="14"/>
      <c r="G56" s="14"/>
      <c r="H56" s="1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6">
        <v>53.0</v>
      </c>
      <c r="B57" s="56" t="s">
        <v>79</v>
      </c>
      <c r="C57" s="56" t="s">
        <v>33</v>
      </c>
      <c r="D57" s="57">
        <v>1.0</v>
      </c>
      <c r="E57" s="14"/>
      <c r="F57" s="14"/>
      <c r="G57" s="14"/>
      <c r="H57" s="1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6">
        <v>54.0</v>
      </c>
      <c r="B58" s="56" t="s">
        <v>80</v>
      </c>
      <c r="C58" s="56" t="s">
        <v>33</v>
      </c>
      <c r="D58" s="57">
        <v>1.0</v>
      </c>
      <c r="E58" s="14"/>
      <c r="F58" s="14"/>
      <c r="G58" s="14"/>
      <c r="H58" s="1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6">
        <v>55.0</v>
      </c>
      <c r="B59" s="56" t="s">
        <v>81</v>
      </c>
      <c r="C59" s="56" t="s">
        <v>33</v>
      </c>
      <c r="D59" s="57">
        <v>1.0</v>
      </c>
      <c r="E59" s="14"/>
      <c r="F59" s="14"/>
      <c r="G59" s="14"/>
      <c r="H59" s="1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6">
        <v>56.0</v>
      </c>
      <c r="B60" s="56" t="s">
        <v>82</v>
      </c>
      <c r="C60" s="56" t="s">
        <v>33</v>
      </c>
      <c r="D60" s="57">
        <v>1.0</v>
      </c>
      <c r="E60" s="14"/>
      <c r="F60" s="14"/>
      <c r="G60" s="14"/>
      <c r="H60" s="1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6">
        <v>57.0</v>
      </c>
      <c r="B61" s="56" t="s">
        <v>83</v>
      </c>
      <c r="C61" s="56" t="s">
        <v>33</v>
      </c>
      <c r="D61" s="57">
        <v>1.0</v>
      </c>
      <c r="E61" s="14"/>
      <c r="F61" s="14"/>
      <c r="G61" s="14"/>
      <c r="H61" s="1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6">
        <v>58.0</v>
      </c>
      <c r="B62" s="56" t="s">
        <v>84</v>
      </c>
      <c r="C62" s="56" t="s">
        <v>33</v>
      </c>
      <c r="D62" s="57">
        <v>1.0</v>
      </c>
      <c r="E62" s="14"/>
      <c r="F62" s="14"/>
      <c r="G62" s="14"/>
      <c r="H62" s="1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6">
        <v>59.0</v>
      </c>
      <c r="B63" s="56" t="s">
        <v>85</v>
      </c>
      <c r="C63" s="56" t="s">
        <v>33</v>
      </c>
      <c r="D63" s="57">
        <v>1.0</v>
      </c>
      <c r="E63" s="14"/>
      <c r="F63" s="14"/>
      <c r="G63" s="14"/>
      <c r="H63" s="1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6">
        <v>60.0</v>
      </c>
      <c r="B64" s="56" t="s">
        <v>86</v>
      </c>
      <c r="C64" s="56" t="s">
        <v>33</v>
      </c>
      <c r="D64" s="57">
        <v>1.0</v>
      </c>
      <c r="E64" s="14"/>
      <c r="F64" s="14"/>
      <c r="G64" s="14"/>
      <c r="H64" s="1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6">
        <v>61.0</v>
      </c>
      <c r="B65" s="56" t="s">
        <v>87</v>
      </c>
      <c r="C65" s="56" t="s">
        <v>33</v>
      </c>
      <c r="D65" s="57">
        <v>1.0</v>
      </c>
      <c r="E65" s="5"/>
      <c r="F65" s="58"/>
      <c r="G65" s="5" t="s">
        <v>312</v>
      </c>
      <c r="H65" s="1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6">
        <v>62.0</v>
      </c>
      <c r="B66" s="56" t="s">
        <v>88</v>
      </c>
      <c r="C66" s="56" t="s">
        <v>33</v>
      </c>
      <c r="D66" s="57">
        <v>1.0</v>
      </c>
      <c r="E66" s="14"/>
      <c r="F66" s="14"/>
      <c r="G66" s="14"/>
      <c r="H66" s="1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6">
        <v>63.0</v>
      </c>
      <c r="B67" s="56" t="s">
        <v>89</v>
      </c>
      <c r="C67" s="56" t="s">
        <v>33</v>
      </c>
      <c r="D67" s="57">
        <v>1.0</v>
      </c>
      <c r="E67" s="14"/>
      <c r="F67" s="14"/>
      <c r="G67" s="14"/>
      <c r="H67" s="1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6">
        <v>64.0</v>
      </c>
      <c r="B68" s="56" t="s">
        <v>90</v>
      </c>
      <c r="C68" s="56" t="s">
        <v>33</v>
      </c>
      <c r="D68" s="57">
        <v>1.0</v>
      </c>
      <c r="E68" s="14"/>
      <c r="F68" s="14"/>
      <c r="G68" s="14"/>
      <c r="H68" s="1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6">
        <v>65.0</v>
      </c>
      <c r="B69" s="56" t="s">
        <v>91</v>
      </c>
      <c r="C69" s="56" t="s">
        <v>33</v>
      </c>
      <c r="D69" s="57">
        <v>1.0</v>
      </c>
      <c r="E69" s="14"/>
      <c r="F69" s="14"/>
      <c r="G69" s="14"/>
      <c r="H69" s="1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6">
        <v>66.0</v>
      </c>
      <c r="B70" s="56" t="s">
        <v>92</v>
      </c>
      <c r="C70" s="56" t="s">
        <v>33</v>
      </c>
      <c r="D70" s="57">
        <v>1.0</v>
      </c>
      <c r="E70" s="14"/>
      <c r="F70" s="14"/>
      <c r="G70" s="14"/>
      <c r="H70" s="1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6">
        <v>67.0</v>
      </c>
      <c r="B71" s="56" t="s">
        <v>93</v>
      </c>
      <c r="C71" s="56" t="s">
        <v>33</v>
      </c>
      <c r="D71" s="57">
        <v>1.0</v>
      </c>
      <c r="E71" s="14"/>
      <c r="F71" s="14"/>
      <c r="G71" s="14"/>
      <c r="H71" s="1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6">
        <v>68.0</v>
      </c>
      <c r="B72" s="56" t="s">
        <v>94</v>
      </c>
      <c r="C72" s="56" t="s">
        <v>33</v>
      </c>
      <c r="D72" s="57">
        <v>1.0</v>
      </c>
      <c r="E72" s="14"/>
      <c r="F72" s="14"/>
      <c r="G72" s="14"/>
      <c r="H72" s="1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6">
        <v>69.0</v>
      </c>
      <c r="B73" s="56" t="s">
        <v>95</v>
      </c>
      <c r="C73" s="56" t="s">
        <v>33</v>
      </c>
      <c r="D73" s="57">
        <v>1.0</v>
      </c>
      <c r="E73" s="14"/>
      <c r="F73" s="14"/>
      <c r="G73" s="14"/>
      <c r="H73" s="1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6">
        <v>70.0</v>
      </c>
      <c r="B74" s="56" t="s">
        <v>96</v>
      </c>
      <c r="C74" s="56" t="s">
        <v>33</v>
      </c>
      <c r="D74" s="57">
        <v>1.0</v>
      </c>
      <c r="E74" s="14"/>
      <c r="F74" s="14"/>
      <c r="G74" s="14"/>
      <c r="H74" s="1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6">
        <v>71.0</v>
      </c>
      <c r="B75" s="56" t="s">
        <v>97</v>
      </c>
      <c r="C75" s="56" t="s">
        <v>33</v>
      </c>
      <c r="D75" s="57">
        <v>1.0</v>
      </c>
      <c r="E75" s="14"/>
      <c r="F75" s="14"/>
      <c r="G75" s="14"/>
      <c r="H75" s="1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6">
        <v>72.0</v>
      </c>
      <c r="B76" s="56" t="s">
        <v>98</v>
      </c>
      <c r="C76" s="56" t="s">
        <v>33</v>
      </c>
      <c r="D76" s="57">
        <v>1.0</v>
      </c>
      <c r="E76" s="14"/>
      <c r="F76" s="14"/>
      <c r="G76" s="14"/>
      <c r="H76" s="1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6">
        <v>73.0</v>
      </c>
      <c r="B77" s="56" t="s">
        <v>99</v>
      </c>
      <c r="C77" s="56" t="s">
        <v>33</v>
      </c>
      <c r="D77" s="57">
        <v>1.0</v>
      </c>
      <c r="E77" s="14"/>
      <c r="F77" s="14"/>
      <c r="G77" s="14"/>
      <c r="H77" s="1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6">
        <v>74.0</v>
      </c>
      <c r="B78" s="56" t="s">
        <v>100</v>
      </c>
      <c r="C78" s="56" t="s">
        <v>33</v>
      </c>
      <c r="D78" s="57">
        <v>1.0</v>
      </c>
      <c r="E78" s="14"/>
      <c r="F78" s="14"/>
      <c r="G78" s="14"/>
      <c r="H78" s="1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6">
        <v>75.0</v>
      </c>
      <c r="B79" s="56" t="s">
        <v>101</v>
      </c>
      <c r="C79" s="56" t="s">
        <v>33</v>
      </c>
      <c r="D79" s="57">
        <v>1.0</v>
      </c>
      <c r="E79" s="14"/>
      <c r="F79" s="14"/>
      <c r="G79" s="14"/>
      <c r="H79" s="1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6">
        <v>76.0</v>
      </c>
      <c r="B80" s="56" t="s">
        <v>102</v>
      </c>
      <c r="C80" s="56" t="s">
        <v>33</v>
      </c>
      <c r="D80" s="57">
        <v>1.0</v>
      </c>
      <c r="E80" s="14"/>
      <c r="F80" s="14"/>
      <c r="G80" s="14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6">
        <v>77.0</v>
      </c>
      <c r="B81" s="56" t="s">
        <v>103</v>
      </c>
      <c r="C81" s="56" t="s">
        <v>33</v>
      </c>
      <c r="D81" s="57">
        <v>1.0</v>
      </c>
      <c r="E81" s="14"/>
      <c r="F81" s="14"/>
      <c r="G81" s="14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6">
        <v>78.0</v>
      </c>
      <c r="B82" s="56" t="s">
        <v>104</v>
      </c>
      <c r="C82" s="56" t="s">
        <v>33</v>
      </c>
      <c r="D82" s="57">
        <v>1.0</v>
      </c>
      <c r="E82" s="14"/>
      <c r="F82" s="14"/>
      <c r="G82" s="14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6">
        <v>79.0</v>
      </c>
      <c r="B83" s="56" t="s">
        <v>105</v>
      </c>
      <c r="C83" s="56" t="s">
        <v>33</v>
      </c>
      <c r="D83" s="57">
        <v>1.0</v>
      </c>
      <c r="E83" s="14"/>
      <c r="F83" s="14"/>
      <c r="G83" s="14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6">
        <v>80.0</v>
      </c>
      <c r="B84" s="56" t="s">
        <v>106</v>
      </c>
      <c r="C84" s="56" t="s">
        <v>33</v>
      </c>
      <c r="D84" s="57">
        <v>1.0</v>
      </c>
      <c r="E84" s="14"/>
      <c r="F84" s="14"/>
      <c r="G84" s="14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6">
        <v>81.0</v>
      </c>
      <c r="B85" s="56" t="s">
        <v>107</v>
      </c>
      <c r="C85" s="56" t="s">
        <v>33</v>
      </c>
      <c r="D85" s="57">
        <v>1.0</v>
      </c>
      <c r="E85" s="14"/>
      <c r="F85" s="14"/>
      <c r="G85" s="14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6">
        <v>82.0</v>
      </c>
      <c r="B86" s="56" t="s">
        <v>108</v>
      </c>
      <c r="C86" s="56" t="s">
        <v>33</v>
      </c>
      <c r="D86" s="57">
        <v>1.0</v>
      </c>
      <c r="E86" s="14"/>
      <c r="F86" s="14"/>
      <c r="G86" s="14"/>
      <c r="H86" s="1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6">
        <v>83.0</v>
      </c>
      <c r="B87" s="56" t="s">
        <v>109</v>
      </c>
      <c r="C87" s="56" t="s">
        <v>33</v>
      </c>
      <c r="D87" s="57">
        <v>1.0</v>
      </c>
      <c r="E87" s="14"/>
      <c r="F87" s="14"/>
      <c r="G87" s="14"/>
      <c r="H87" s="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6">
        <v>84.0</v>
      </c>
      <c r="B88" s="56" t="s">
        <v>110</v>
      </c>
      <c r="C88" s="56" t="s">
        <v>33</v>
      </c>
      <c r="D88" s="57">
        <v>1.0</v>
      </c>
      <c r="E88" s="14"/>
      <c r="F88" s="14"/>
      <c r="G88" s="14"/>
      <c r="H88" s="1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6">
        <v>85.0</v>
      </c>
      <c r="B89" s="56" t="s">
        <v>111</v>
      </c>
      <c r="C89" s="56" t="s">
        <v>33</v>
      </c>
      <c r="D89" s="57">
        <v>1.0</v>
      </c>
      <c r="E89" s="14"/>
      <c r="F89" s="14"/>
      <c r="G89" s="14"/>
      <c r="H89" s="1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6">
        <v>86.0</v>
      </c>
      <c r="B90" s="56" t="s">
        <v>112</v>
      </c>
      <c r="C90" s="56" t="s">
        <v>33</v>
      </c>
      <c r="D90" s="57">
        <v>1.0</v>
      </c>
      <c r="E90" s="14"/>
      <c r="F90" s="14"/>
      <c r="G90" s="14"/>
      <c r="H90" s="1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6">
        <v>87.0</v>
      </c>
      <c r="B91" s="56" t="s">
        <v>113</v>
      </c>
      <c r="C91" s="56" t="s">
        <v>33</v>
      </c>
      <c r="D91" s="57">
        <v>1.0</v>
      </c>
      <c r="E91" s="14"/>
      <c r="F91" s="14"/>
      <c r="G91" s="14"/>
      <c r="H91" s="1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6">
        <v>88.0</v>
      </c>
      <c r="B92" s="56" t="s">
        <v>114</v>
      </c>
      <c r="C92" s="56" t="s">
        <v>33</v>
      </c>
      <c r="D92" s="57">
        <v>1.0</v>
      </c>
      <c r="E92" s="14"/>
      <c r="F92" s="14"/>
      <c r="G92" s="14"/>
      <c r="H92" s="1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6">
        <v>89.0</v>
      </c>
      <c r="B93" s="56" t="s">
        <v>115</v>
      </c>
      <c r="C93" s="56" t="s">
        <v>33</v>
      </c>
      <c r="D93" s="57">
        <v>1.0</v>
      </c>
      <c r="E93" s="14"/>
      <c r="F93" s="14"/>
      <c r="G93" s="14"/>
      <c r="H93" s="1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6">
        <v>90.0</v>
      </c>
      <c r="B94" s="56" t="s">
        <v>116</v>
      </c>
      <c r="C94" s="56" t="s">
        <v>33</v>
      </c>
      <c r="D94" s="57">
        <v>1.0</v>
      </c>
      <c r="E94" s="14"/>
      <c r="F94" s="14"/>
      <c r="G94" s="14"/>
      <c r="H94" s="1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6">
        <v>91.0</v>
      </c>
      <c r="B95" s="56" t="s">
        <v>117</v>
      </c>
      <c r="C95" s="56" t="s">
        <v>33</v>
      </c>
      <c r="D95" s="57">
        <v>1.0</v>
      </c>
      <c r="E95" s="14"/>
      <c r="F95" s="14"/>
      <c r="G95" s="14"/>
      <c r="H95" s="1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6">
        <v>92.0</v>
      </c>
      <c r="B96" s="56" t="s">
        <v>118</v>
      </c>
      <c r="C96" s="56" t="s">
        <v>33</v>
      </c>
      <c r="D96" s="57">
        <v>1.0</v>
      </c>
      <c r="E96" s="14"/>
      <c r="F96" s="14"/>
      <c r="G96" s="14"/>
      <c r="H96" s="1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6">
        <v>93.0</v>
      </c>
      <c r="B97" s="56" t="s">
        <v>119</v>
      </c>
      <c r="C97" s="56" t="s">
        <v>33</v>
      </c>
      <c r="D97" s="57">
        <v>1.0</v>
      </c>
      <c r="E97" s="14"/>
      <c r="F97" s="14"/>
      <c r="G97" s="14"/>
      <c r="H97" s="1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6">
        <v>94.0</v>
      </c>
      <c r="B98" s="56" t="s">
        <v>120</v>
      </c>
      <c r="C98" s="56" t="s">
        <v>33</v>
      </c>
      <c r="D98" s="57">
        <v>1.0</v>
      </c>
      <c r="E98" s="14"/>
      <c r="F98" s="14"/>
      <c r="G98" s="14"/>
      <c r="H98" s="1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6">
        <v>95.0</v>
      </c>
      <c r="B99" s="56" t="s">
        <v>121</v>
      </c>
      <c r="C99" s="56" t="s">
        <v>33</v>
      </c>
      <c r="D99" s="57">
        <v>1.0</v>
      </c>
      <c r="E99" s="14"/>
      <c r="F99" s="14"/>
      <c r="G99" s="14"/>
      <c r="H99" s="1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6">
        <v>96.0</v>
      </c>
      <c r="B100" s="56" t="s">
        <v>122</v>
      </c>
      <c r="C100" s="56" t="s">
        <v>33</v>
      </c>
      <c r="D100" s="57">
        <v>1.0</v>
      </c>
      <c r="E100" s="14"/>
      <c r="F100" s="14"/>
      <c r="G100" s="14"/>
      <c r="H100" s="1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6">
        <v>97.0</v>
      </c>
      <c r="B101" s="56" t="s">
        <v>123</v>
      </c>
      <c r="C101" s="56" t="s">
        <v>33</v>
      </c>
      <c r="D101" s="57">
        <v>1.0</v>
      </c>
      <c r="E101" s="14"/>
      <c r="F101" s="14"/>
      <c r="G101" s="14"/>
      <c r="H101" s="1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6">
        <v>98.0</v>
      </c>
      <c r="B102" s="56" t="s">
        <v>124</v>
      </c>
      <c r="C102" s="56" t="s">
        <v>33</v>
      </c>
      <c r="D102" s="57">
        <v>1.0</v>
      </c>
      <c r="E102" s="14"/>
      <c r="F102" s="14"/>
      <c r="G102" s="14"/>
      <c r="H102" s="1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6">
        <v>99.0</v>
      </c>
      <c r="B103" s="56" t="s">
        <v>125</v>
      </c>
      <c r="C103" s="56" t="s">
        <v>33</v>
      </c>
      <c r="D103" s="57">
        <v>1.0</v>
      </c>
      <c r="E103" s="14"/>
      <c r="F103" s="14"/>
      <c r="G103" s="14"/>
      <c r="H103" s="1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6">
        <v>100.0</v>
      </c>
      <c r="B104" s="56" t="s">
        <v>126</v>
      </c>
      <c r="C104" s="56" t="s">
        <v>33</v>
      </c>
      <c r="D104" s="57">
        <v>1.0</v>
      </c>
      <c r="E104" s="14"/>
      <c r="F104" s="14"/>
      <c r="G104" s="14"/>
      <c r="H104" s="1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6">
        <v>101.0</v>
      </c>
      <c r="B105" s="56" t="s">
        <v>127</v>
      </c>
      <c r="C105" s="56" t="s">
        <v>33</v>
      </c>
      <c r="D105" s="57">
        <v>1.0</v>
      </c>
      <c r="E105" s="14"/>
      <c r="F105" s="14"/>
      <c r="G105" s="14"/>
      <c r="H105" s="1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6">
        <v>102.0</v>
      </c>
      <c r="B106" s="56" t="s">
        <v>128</v>
      </c>
      <c r="C106" s="56" t="s">
        <v>33</v>
      </c>
      <c r="D106" s="57">
        <v>1.0</v>
      </c>
      <c r="E106" s="14"/>
      <c r="F106" s="14"/>
      <c r="G106" s="14"/>
      <c r="H106" s="1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6">
        <v>103.0</v>
      </c>
      <c r="B107" s="56" t="s">
        <v>129</v>
      </c>
      <c r="C107" s="56" t="s">
        <v>33</v>
      </c>
      <c r="D107" s="57">
        <v>1.0</v>
      </c>
      <c r="E107" s="14"/>
      <c r="F107" s="14"/>
      <c r="G107" s="14"/>
      <c r="H107" s="1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6">
        <v>104.0</v>
      </c>
      <c r="B108" s="56" t="s">
        <v>130</v>
      </c>
      <c r="C108" s="56" t="s">
        <v>33</v>
      </c>
      <c r="D108" s="57">
        <v>1.0</v>
      </c>
      <c r="E108" s="14"/>
      <c r="F108" s="14"/>
      <c r="G108" s="14"/>
      <c r="H108" s="1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6">
        <v>105.0</v>
      </c>
      <c r="B109" s="56" t="s">
        <v>131</v>
      </c>
      <c r="C109" s="56" t="s">
        <v>33</v>
      </c>
      <c r="D109" s="57">
        <v>1.0</v>
      </c>
      <c r="E109" s="14"/>
      <c r="F109" s="14"/>
      <c r="G109" s="14"/>
      <c r="H109" s="1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6">
        <v>106.0</v>
      </c>
      <c r="B110" s="56" t="s">
        <v>132</v>
      </c>
      <c r="C110" s="56" t="s">
        <v>31</v>
      </c>
      <c r="D110" s="57">
        <v>2.0</v>
      </c>
      <c r="E110" s="14"/>
      <c r="F110" s="14"/>
      <c r="G110" s="14"/>
      <c r="H110" s="1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6">
        <v>107.0</v>
      </c>
      <c r="B111" s="56" t="s">
        <v>133</v>
      </c>
      <c r="C111" s="56" t="s">
        <v>31</v>
      </c>
      <c r="D111" s="57">
        <v>2.0</v>
      </c>
      <c r="E111" s="14"/>
      <c r="F111" s="14"/>
      <c r="G111" s="14"/>
      <c r="H111" s="1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6">
        <v>108.0</v>
      </c>
      <c r="B112" s="56" t="s">
        <v>134</v>
      </c>
      <c r="C112" s="56" t="s">
        <v>31</v>
      </c>
      <c r="D112" s="57">
        <v>2.0</v>
      </c>
      <c r="E112" s="14"/>
      <c r="F112" s="14"/>
      <c r="G112" s="14"/>
      <c r="H112" s="1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6">
        <v>109.0</v>
      </c>
      <c r="B113" s="56" t="s">
        <v>135</v>
      </c>
      <c r="C113" s="56" t="s">
        <v>31</v>
      </c>
      <c r="D113" s="57">
        <v>2.0</v>
      </c>
      <c r="E113" s="14"/>
      <c r="F113" s="14"/>
      <c r="G113" s="14"/>
      <c r="H113" s="1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6">
        <v>110.0</v>
      </c>
      <c r="B114" s="56" t="s">
        <v>136</v>
      </c>
      <c r="C114" s="56" t="s">
        <v>31</v>
      </c>
      <c r="D114" s="57">
        <v>2.0</v>
      </c>
      <c r="E114" s="14"/>
      <c r="F114" s="14"/>
      <c r="G114" s="14"/>
      <c r="H114" s="1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6">
        <v>111.0</v>
      </c>
      <c r="B115" s="56" t="s">
        <v>137</v>
      </c>
      <c r="C115" s="56" t="s">
        <v>31</v>
      </c>
      <c r="D115" s="57">
        <v>2.0</v>
      </c>
      <c r="E115" s="14"/>
      <c r="F115" s="14"/>
      <c r="G115" s="14"/>
      <c r="H115" s="1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6">
        <v>112.0</v>
      </c>
      <c r="B116" s="56" t="s">
        <v>138</v>
      </c>
      <c r="C116" s="56" t="s">
        <v>33</v>
      </c>
      <c r="D116" s="57">
        <v>2.0</v>
      </c>
      <c r="E116" s="14"/>
      <c r="F116" s="14"/>
      <c r="G116" s="14"/>
      <c r="H116" s="1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6">
        <v>113.0</v>
      </c>
      <c r="B117" s="56" t="s">
        <v>139</v>
      </c>
      <c r="C117" s="56" t="s">
        <v>33</v>
      </c>
      <c r="D117" s="57">
        <v>2.0</v>
      </c>
      <c r="E117" s="14"/>
      <c r="F117" s="14"/>
      <c r="G117" s="14"/>
      <c r="H117" s="1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6">
        <v>114.0</v>
      </c>
      <c r="B118" s="56" t="s">
        <v>140</v>
      </c>
      <c r="C118" s="56" t="s">
        <v>33</v>
      </c>
      <c r="D118" s="57">
        <v>2.0</v>
      </c>
      <c r="E118" s="14"/>
      <c r="F118" s="14"/>
      <c r="G118" s="14"/>
      <c r="H118" s="1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6">
        <v>115.0</v>
      </c>
      <c r="B119" s="56" t="s">
        <v>141</v>
      </c>
      <c r="C119" s="56" t="s">
        <v>33</v>
      </c>
      <c r="D119" s="57">
        <v>2.0</v>
      </c>
      <c r="E119" s="14"/>
      <c r="F119" s="14"/>
      <c r="G119" s="14"/>
      <c r="H119" s="1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6">
        <v>116.0</v>
      </c>
      <c r="B120" s="56" t="s">
        <v>142</v>
      </c>
      <c r="C120" s="56" t="s">
        <v>33</v>
      </c>
      <c r="D120" s="57">
        <v>2.0</v>
      </c>
      <c r="E120" s="14"/>
      <c r="F120" s="14"/>
      <c r="G120" s="14"/>
      <c r="H120" s="1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6">
        <v>117.0</v>
      </c>
      <c r="B121" s="56" t="s">
        <v>143</v>
      </c>
      <c r="C121" s="56" t="s">
        <v>33</v>
      </c>
      <c r="D121" s="57">
        <v>2.0</v>
      </c>
      <c r="E121" s="14"/>
      <c r="F121" s="14"/>
      <c r="G121" s="14"/>
      <c r="H121" s="1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6">
        <v>118.0</v>
      </c>
      <c r="B122" s="56" t="s">
        <v>144</v>
      </c>
      <c r="C122" s="56" t="s">
        <v>33</v>
      </c>
      <c r="D122" s="57">
        <v>2.0</v>
      </c>
      <c r="E122" s="14"/>
      <c r="F122" s="14"/>
      <c r="G122" s="14"/>
      <c r="H122" s="1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6">
        <v>119.0</v>
      </c>
      <c r="B123" s="56" t="s">
        <v>145</v>
      </c>
      <c r="C123" s="56" t="s">
        <v>33</v>
      </c>
      <c r="D123" s="57">
        <v>2.0</v>
      </c>
      <c r="E123" s="14"/>
      <c r="F123" s="14"/>
      <c r="G123" s="14"/>
      <c r="H123" s="1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6">
        <v>120.0</v>
      </c>
      <c r="B124" s="56" t="s">
        <v>146</v>
      </c>
      <c r="C124" s="56" t="s">
        <v>33</v>
      </c>
      <c r="D124" s="57">
        <v>2.0</v>
      </c>
      <c r="E124" s="14"/>
      <c r="F124" s="14"/>
      <c r="G124" s="14"/>
      <c r="H124" s="1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6">
        <v>121.0</v>
      </c>
      <c r="B125" s="56" t="s">
        <v>147</v>
      </c>
      <c r="C125" s="56" t="s">
        <v>33</v>
      </c>
      <c r="D125" s="57">
        <v>2.0</v>
      </c>
      <c r="E125" s="14"/>
      <c r="F125" s="14"/>
      <c r="G125" s="14"/>
      <c r="H125" s="1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6">
        <v>122.0</v>
      </c>
      <c r="B126" s="56" t="s">
        <v>148</v>
      </c>
      <c r="C126" s="56" t="s">
        <v>33</v>
      </c>
      <c r="D126" s="57">
        <v>2.0</v>
      </c>
      <c r="E126" s="14"/>
      <c r="F126" s="14"/>
      <c r="G126" s="14"/>
      <c r="H126" s="1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6">
        <v>123.0</v>
      </c>
      <c r="B127" s="56" t="s">
        <v>149</v>
      </c>
      <c r="C127" s="56" t="s">
        <v>33</v>
      </c>
      <c r="D127" s="57">
        <v>2.0</v>
      </c>
      <c r="E127" s="14"/>
      <c r="F127" s="14"/>
      <c r="G127" s="14"/>
      <c r="H127" s="1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6">
        <v>124.0</v>
      </c>
      <c r="B128" s="56" t="s">
        <v>150</v>
      </c>
      <c r="C128" s="56" t="s">
        <v>33</v>
      </c>
      <c r="D128" s="57">
        <v>2.0</v>
      </c>
      <c r="E128" s="14"/>
      <c r="F128" s="14"/>
      <c r="G128" s="14"/>
      <c r="H128" s="1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6">
        <v>125.0</v>
      </c>
      <c r="B129" s="56" t="s">
        <v>151</v>
      </c>
      <c r="C129" s="56" t="s">
        <v>33</v>
      </c>
      <c r="D129" s="57">
        <v>2.0</v>
      </c>
      <c r="E129" s="14"/>
      <c r="F129" s="14"/>
      <c r="G129" s="14"/>
      <c r="H129" s="1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6">
        <v>126.0</v>
      </c>
      <c r="B130" s="56" t="s">
        <v>152</v>
      </c>
      <c r="C130" s="56" t="s">
        <v>33</v>
      </c>
      <c r="D130" s="57">
        <v>2.0</v>
      </c>
      <c r="E130" s="14"/>
      <c r="F130" s="14"/>
      <c r="G130" s="14"/>
      <c r="H130" s="1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6">
        <v>127.0</v>
      </c>
      <c r="B131" s="56" t="s">
        <v>153</v>
      </c>
      <c r="C131" s="56" t="s">
        <v>33</v>
      </c>
      <c r="D131" s="57">
        <v>2.0</v>
      </c>
      <c r="E131" s="14"/>
      <c r="F131" s="14"/>
      <c r="G131" s="14"/>
      <c r="H131" s="1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6">
        <v>128.0</v>
      </c>
      <c r="B132" s="56" t="s">
        <v>154</v>
      </c>
      <c r="C132" s="56" t="s">
        <v>33</v>
      </c>
      <c r="D132" s="57">
        <v>2.0</v>
      </c>
      <c r="E132" s="14"/>
      <c r="F132" s="14"/>
      <c r="G132" s="14"/>
      <c r="H132" s="1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6">
        <v>129.0</v>
      </c>
      <c r="B133" s="56" t="s">
        <v>155</v>
      </c>
      <c r="C133" s="56" t="s">
        <v>33</v>
      </c>
      <c r="D133" s="57">
        <v>2.0</v>
      </c>
      <c r="E133" s="14"/>
      <c r="F133" s="14"/>
      <c r="G133" s="14"/>
      <c r="H133" s="1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6">
        <v>130.0</v>
      </c>
      <c r="B134" s="56" t="s">
        <v>156</v>
      </c>
      <c r="C134" s="56" t="s">
        <v>33</v>
      </c>
      <c r="D134" s="57">
        <v>2.0</v>
      </c>
      <c r="E134" s="14"/>
      <c r="F134" s="14"/>
      <c r="G134" s="14"/>
      <c r="H134" s="1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6">
        <v>131.0</v>
      </c>
      <c r="B135" s="56" t="s">
        <v>157</v>
      </c>
      <c r="C135" s="56" t="s">
        <v>33</v>
      </c>
      <c r="D135" s="57">
        <v>2.0</v>
      </c>
      <c r="E135" s="14"/>
      <c r="F135" s="14"/>
      <c r="G135" s="14"/>
      <c r="H135" s="1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6">
        <v>132.0</v>
      </c>
      <c r="B136" s="56" t="s">
        <v>158</v>
      </c>
      <c r="C136" s="56" t="s">
        <v>33</v>
      </c>
      <c r="D136" s="57">
        <v>2.0</v>
      </c>
      <c r="E136" s="14"/>
      <c r="F136" s="14"/>
      <c r="G136" s="14"/>
      <c r="H136" s="1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6">
        <v>133.0</v>
      </c>
      <c r="B137" s="56" t="s">
        <v>159</v>
      </c>
      <c r="C137" s="56" t="s">
        <v>33</v>
      </c>
      <c r="D137" s="57">
        <v>2.0</v>
      </c>
      <c r="E137" s="14"/>
      <c r="F137" s="14"/>
      <c r="G137" s="14"/>
      <c r="H137" s="1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6">
        <v>134.0</v>
      </c>
      <c r="B138" s="56" t="s">
        <v>160</v>
      </c>
      <c r="C138" s="56" t="s">
        <v>33</v>
      </c>
      <c r="D138" s="57">
        <v>2.0</v>
      </c>
      <c r="E138" s="14"/>
      <c r="F138" s="14"/>
      <c r="G138" s="14"/>
      <c r="H138" s="1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6">
        <v>135.0</v>
      </c>
      <c r="B139" s="56" t="s">
        <v>161</v>
      </c>
      <c r="C139" s="56" t="s">
        <v>33</v>
      </c>
      <c r="D139" s="57">
        <v>2.0</v>
      </c>
      <c r="E139" s="14"/>
      <c r="F139" s="14"/>
      <c r="G139" s="14"/>
      <c r="H139" s="1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6">
        <v>136.0</v>
      </c>
      <c r="B140" s="56" t="s">
        <v>162</v>
      </c>
      <c r="C140" s="56" t="s">
        <v>33</v>
      </c>
      <c r="D140" s="57">
        <v>2.0</v>
      </c>
      <c r="E140" s="14"/>
      <c r="F140" s="14"/>
      <c r="G140" s="14"/>
      <c r="H140" s="1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6">
        <v>137.0</v>
      </c>
      <c r="B141" s="56" t="s">
        <v>163</v>
      </c>
      <c r="C141" s="56" t="s">
        <v>33</v>
      </c>
      <c r="D141" s="57">
        <v>2.0</v>
      </c>
      <c r="E141" s="14"/>
      <c r="F141" s="14"/>
      <c r="G141" s="14"/>
      <c r="H141" s="1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6">
        <v>138.0</v>
      </c>
      <c r="B142" s="56" t="s">
        <v>164</v>
      </c>
      <c r="C142" s="56" t="s">
        <v>33</v>
      </c>
      <c r="D142" s="57">
        <v>2.0</v>
      </c>
      <c r="E142" s="14"/>
      <c r="F142" s="14"/>
      <c r="G142" s="14"/>
      <c r="H142" s="1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6">
        <v>139.0</v>
      </c>
      <c r="B143" s="56" t="s">
        <v>165</v>
      </c>
      <c r="C143" s="56" t="s">
        <v>33</v>
      </c>
      <c r="D143" s="57">
        <v>2.0</v>
      </c>
      <c r="E143" s="14"/>
      <c r="F143" s="14"/>
      <c r="G143" s="14"/>
      <c r="H143" s="1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6">
        <v>140.0</v>
      </c>
      <c r="B144" s="56" t="s">
        <v>166</v>
      </c>
      <c r="C144" s="56" t="s">
        <v>33</v>
      </c>
      <c r="D144" s="57">
        <v>2.0</v>
      </c>
      <c r="E144" s="14"/>
      <c r="F144" s="14"/>
      <c r="G144" s="14"/>
      <c r="H144" s="1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6">
        <v>141.0</v>
      </c>
      <c r="B145" s="56" t="s">
        <v>167</v>
      </c>
      <c r="C145" s="56" t="s">
        <v>33</v>
      </c>
      <c r="D145" s="57">
        <v>2.0</v>
      </c>
      <c r="E145" s="14"/>
      <c r="F145" s="14"/>
      <c r="G145" s="14"/>
      <c r="H145" s="1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6">
        <v>142.0</v>
      </c>
      <c r="B146" s="56" t="s">
        <v>168</v>
      </c>
      <c r="C146" s="56" t="s">
        <v>33</v>
      </c>
      <c r="D146" s="57">
        <v>2.0</v>
      </c>
      <c r="E146" s="14"/>
      <c r="F146" s="14"/>
      <c r="G146" s="14"/>
      <c r="H146" s="1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6">
        <v>143.0</v>
      </c>
      <c r="B147" s="56" t="s">
        <v>169</v>
      </c>
      <c r="C147" s="56" t="s">
        <v>33</v>
      </c>
      <c r="D147" s="57">
        <v>2.0</v>
      </c>
      <c r="E147" s="14"/>
      <c r="F147" s="14"/>
      <c r="G147" s="14"/>
      <c r="H147" s="1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6">
        <v>144.0</v>
      </c>
      <c r="B148" s="56" t="s">
        <v>170</v>
      </c>
      <c r="C148" s="56" t="s">
        <v>33</v>
      </c>
      <c r="D148" s="57">
        <v>2.0</v>
      </c>
      <c r="E148" s="14"/>
      <c r="F148" s="14"/>
      <c r="G148" s="14"/>
      <c r="H148" s="1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6">
        <v>145.0</v>
      </c>
      <c r="B149" s="56" t="s">
        <v>171</v>
      </c>
      <c r="C149" s="56" t="s">
        <v>33</v>
      </c>
      <c r="D149" s="57">
        <v>2.0</v>
      </c>
      <c r="E149" s="14"/>
      <c r="F149" s="14"/>
      <c r="G149" s="14"/>
      <c r="H149" s="1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6">
        <v>146.0</v>
      </c>
      <c r="B150" s="56" t="s">
        <v>172</v>
      </c>
      <c r="C150" s="56" t="s">
        <v>33</v>
      </c>
      <c r="D150" s="57">
        <v>2.0</v>
      </c>
      <c r="E150" s="14"/>
      <c r="F150" s="14"/>
      <c r="G150" s="14"/>
      <c r="H150" s="1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6">
        <v>147.0</v>
      </c>
      <c r="B151" s="56" t="s">
        <v>173</v>
      </c>
      <c r="C151" s="56" t="s">
        <v>33</v>
      </c>
      <c r="D151" s="57">
        <v>2.0</v>
      </c>
      <c r="E151" s="14"/>
      <c r="F151" s="14"/>
      <c r="G151" s="14"/>
      <c r="H151" s="1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6">
        <v>148.0</v>
      </c>
      <c r="B152" s="56" t="s">
        <v>174</v>
      </c>
      <c r="C152" s="56" t="s">
        <v>33</v>
      </c>
      <c r="D152" s="57">
        <v>2.0</v>
      </c>
      <c r="E152" s="14"/>
      <c r="F152" s="14"/>
      <c r="G152" s="14"/>
      <c r="H152" s="1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6">
        <v>149.0</v>
      </c>
      <c r="B153" s="56" t="s">
        <v>175</v>
      </c>
      <c r="C153" s="56" t="s">
        <v>33</v>
      </c>
      <c r="D153" s="57">
        <v>2.0</v>
      </c>
      <c r="E153" s="14"/>
      <c r="F153" s="14"/>
      <c r="G153" s="14"/>
      <c r="H153" s="1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6">
        <v>150.0</v>
      </c>
      <c r="B154" s="56" t="s">
        <v>176</v>
      </c>
      <c r="C154" s="56" t="s">
        <v>33</v>
      </c>
      <c r="D154" s="57">
        <v>2.0</v>
      </c>
      <c r="E154" s="14"/>
      <c r="F154" s="14"/>
      <c r="G154" s="14"/>
      <c r="H154" s="1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6">
        <v>151.0</v>
      </c>
      <c r="B155" s="56" t="s">
        <v>177</v>
      </c>
      <c r="C155" s="56" t="s">
        <v>33</v>
      </c>
      <c r="D155" s="57">
        <v>2.0</v>
      </c>
      <c r="E155" s="14"/>
      <c r="F155" s="14"/>
      <c r="G155" s="14"/>
      <c r="H155" s="1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6">
        <v>152.0</v>
      </c>
      <c r="B156" s="56" t="s">
        <v>178</v>
      </c>
      <c r="C156" s="56" t="s">
        <v>33</v>
      </c>
      <c r="D156" s="57">
        <v>2.0</v>
      </c>
      <c r="E156" s="14"/>
      <c r="F156" s="14"/>
      <c r="G156" s="14"/>
      <c r="H156" s="1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6">
        <v>153.0</v>
      </c>
      <c r="B157" s="56" t="s">
        <v>179</v>
      </c>
      <c r="C157" s="56" t="s">
        <v>33</v>
      </c>
      <c r="D157" s="57">
        <v>2.0</v>
      </c>
      <c r="E157" s="14"/>
      <c r="F157" s="14"/>
      <c r="G157" s="14"/>
      <c r="H157" s="1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6">
        <v>154.0</v>
      </c>
      <c r="B158" s="56" t="s">
        <v>180</v>
      </c>
      <c r="C158" s="56" t="s">
        <v>33</v>
      </c>
      <c r="D158" s="57">
        <v>2.0</v>
      </c>
      <c r="E158" s="14"/>
      <c r="F158" s="14"/>
      <c r="G158" s="14"/>
      <c r="H158" s="1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6">
        <v>155.0</v>
      </c>
      <c r="B159" s="56" t="s">
        <v>181</v>
      </c>
      <c r="C159" s="56" t="s">
        <v>33</v>
      </c>
      <c r="D159" s="57">
        <v>2.0</v>
      </c>
      <c r="E159" s="14"/>
      <c r="F159" s="14"/>
      <c r="G159" s="14"/>
      <c r="H159" s="1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6">
        <v>156.0</v>
      </c>
      <c r="B160" s="56" t="s">
        <v>182</v>
      </c>
      <c r="C160" s="56" t="s">
        <v>33</v>
      </c>
      <c r="D160" s="57">
        <v>2.0</v>
      </c>
      <c r="E160" s="14"/>
      <c r="F160" s="14"/>
      <c r="G160" s="14"/>
      <c r="H160" s="1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6">
        <v>157.0</v>
      </c>
      <c r="B161" s="56" t="s">
        <v>183</v>
      </c>
      <c r="C161" s="56" t="s">
        <v>33</v>
      </c>
      <c r="D161" s="57">
        <v>2.0</v>
      </c>
      <c r="E161" s="14"/>
      <c r="F161" s="14"/>
      <c r="G161" s="14"/>
      <c r="H161" s="1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6">
        <v>158.0</v>
      </c>
      <c r="B162" s="56" t="s">
        <v>184</v>
      </c>
      <c r="C162" s="56" t="s">
        <v>33</v>
      </c>
      <c r="D162" s="57">
        <v>2.0</v>
      </c>
      <c r="E162" s="14"/>
      <c r="F162" s="14"/>
      <c r="G162" s="14"/>
      <c r="H162" s="1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6">
        <v>159.0</v>
      </c>
      <c r="B163" s="56" t="s">
        <v>185</v>
      </c>
      <c r="C163" s="56" t="s">
        <v>33</v>
      </c>
      <c r="D163" s="57">
        <v>2.0</v>
      </c>
      <c r="E163" s="14"/>
      <c r="F163" s="14"/>
      <c r="G163" s="14"/>
      <c r="H163" s="1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6">
        <v>160.0</v>
      </c>
      <c r="B164" s="56" t="s">
        <v>186</v>
      </c>
      <c r="C164" s="56" t="s">
        <v>33</v>
      </c>
      <c r="D164" s="57">
        <v>2.0</v>
      </c>
      <c r="E164" s="14"/>
      <c r="F164" s="14"/>
      <c r="G164" s="14"/>
      <c r="H164" s="1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6">
        <v>161.0</v>
      </c>
      <c r="B165" s="56" t="s">
        <v>187</v>
      </c>
      <c r="C165" s="56" t="s">
        <v>33</v>
      </c>
      <c r="D165" s="57">
        <v>2.0</v>
      </c>
      <c r="E165" s="14"/>
      <c r="F165" s="14"/>
      <c r="G165" s="14"/>
      <c r="H165" s="1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6">
        <v>162.0</v>
      </c>
      <c r="B166" s="56" t="s">
        <v>188</v>
      </c>
      <c r="C166" s="56" t="s">
        <v>33</v>
      </c>
      <c r="D166" s="57">
        <v>2.0</v>
      </c>
      <c r="E166" s="14"/>
      <c r="F166" s="14"/>
      <c r="G166" s="14"/>
      <c r="H166" s="1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6">
        <v>163.0</v>
      </c>
      <c r="B167" s="56" t="s">
        <v>189</v>
      </c>
      <c r="C167" s="56" t="s">
        <v>33</v>
      </c>
      <c r="D167" s="57">
        <v>2.0</v>
      </c>
      <c r="E167" s="14"/>
      <c r="F167" s="14"/>
      <c r="G167" s="14"/>
      <c r="H167" s="1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6">
        <v>164.0</v>
      </c>
      <c r="B168" s="56" t="s">
        <v>190</v>
      </c>
      <c r="C168" s="56" t="s">
        <v>33</v>
      </c>
      <c r="D168" s="57">
        <v>2.0</v>
      </c>
      <c r="E168" s="14"/>
      <c r="F168" s="14"/>
      <c r="G168" s="14"/>
      <c r="H168" s="1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6">
        <v>165.0</v>
      </c>
      <c r="B169" s="56" t="s">
        <v>191</v>
      </c>
      <c r="C169" s="56" t="s">
        <v>33</v>
      </c>
      <c r="D169" s="57">
        <v>2.0</v>
      </c>
      <c r="E169" s="14"/>
      <c r="F169" s="14"/>
      <c r="G169" s="14"/>
      <c r="H169" s="1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6">
        <v>166.0</v>
      </c>
      <c r="B170" s="56" t="s">
        <v>192</v>
      </c>
      <c r="C170" s="56" t="s">
        <v>33</v>
      </c>
      <c r="D170" s="57">
        <v>2.0</v>
      </c>
      <c r="E170" s="14"/>
      <c r="F170" s="14"/>
      <c r="G170" s="14"/>
      <c r="H170" s="1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6">
        <v>167.0</v>
      </c>
      <c r="B171" s="56" t="s">
        <v>193</v>
      </c>
      <c r="C171" s="56" t="s">
        <v>33</v>
      </c>
      <c r="D171" s="57">
        <v>2.0</v>
      </c>
      <c r="E171" s="14"/>
      <c r="F171" s="14"/>
      <c r="G171" s="14"/>
      <c r="H171" s="1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6">
        <v>168.0</v>
      </c>
      <c r="B172" s="56" t="s">
        <v>194</v>
      </c>
      <c r="C172" s="56" t="s">
        <v>33</v>
      </c>
      <c r="D172" s="57">
        <v>2.0</v>
      </c>
      <c r="E172" s="14"/>
      <c r="F172" s="14"/>
      <c r="G172" s="14"/>
      <c r="H172" s="1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6">
        <v>169.0</v>
      </c>
      <c r="B173" s="56" t="s">
        <v>195</v>
      </c>
      <c r="C173" s="56" t="s">
        <v>33</v>
      </c>
      <c r="D173" s="57">
        <v>2.0</v>
      </c>
      <c r="E173" s="14"/>
      <c r="F173" s="14"/>
      <c r="G173" s="14"/>
      <c r="H173" s="1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6">
        <v>170.0</v>
      </c>
      <c r="B174" s="56" t="s">
        <v>196</v>
      </c>
      <c r="C174" s="56" t="s">
        <v>33</v>
      </c>
      <c r="D174" s="57">
        <v>2.0</v>
      </c>
      <c r="E174" s="14"/>
      <c r="F174" s="14"/>
      <c r="G174" s="14"/>
      <c r="H174" s="1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6">
        <v>171.0</v>
      </c>
      <c r="B175" s="56" t="s">
        <v>197</v>
      </c>
      <c r="C175" s="56" t="s">
        <v>33</v>
      </c>
      <c r="D175" s="57">
        <v>2.0</v>
      </c>
      <c r="E175" s="14"/>
      <c r="F175" s="14"/>
      <c r="G175" s="14"/>
      <c r="H175" s="1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6">
        <v>172.0</v>
      </c>
      <c r="B176" s="56" t="s">
        <v>198</v>
      </c>
      <c r="C176" s="56" t="s">
        <v>33</v>
      </c>
      <c r="D176" s="57">
        <v>2.0</v>
      </c>
      <c r="E176" s="14"/>
      <c r="F176" s="14"/>
      <c r="G176" s="14"/>
      <c r="H176" s="1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6">
        <v>173.0</v>
      </c>
      <c r="B177" s="56" t="s">
        <v>199</v>
      </c>
      <c r="C177" s="56" t="s">
        <v>33</v>
      </c>
      <c r="D177" s="57">
        <v>2.0</v>
      </c>
      <c r="E177" s="14"/>
      <c r="F177" s="14"/>
      <c r="G177" s="14"/>
      <c r="H177" s="1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6">
        <v>174.0</v>
      </c>
      <c r="B178" s="56" t="s">
        <v>200</v>
      </c>
      <c r="C178" s="56" t="s">
        <v>33</v>
      </c>
      <c r="D178" s="57">
        <v>2.0</v>
      </c>
      <c r="E178" s="14"/>
      <c r="F178" s="14"/>
      <c r="G178" s="14"/>
      <c r="H178" s="1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6">
        <v>175.0</v>
      </c>
      <c r="B179" s="56" t="s">
        <v>201</v>
      </c>
      <c r="C179" s="56" t="s">
        <v>33</v>
      </c>
      <c r="D179" s="57">
        <v>2.0</v>
      </c>
      <c r="E179" s="14"/>
      <c r="F179" s="14"/>
      <c r="G179" s="14"/>
      <c r="H179" s="1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6">
        <v>176.0</v>
      </c>
      <c r="B180" s="56" t="s">
        <v>202</v>
      </c>
      <c r="C180" s="56" t="s">
        <v>33</v>
      </c>
      <c r="D180" s="57">
        <v>2.0</v>
      </c>
      <c r="E180" s="14"/>
      <c r="F180" s="14"/>
      <c r="G180" s="14"/>
      <c r="H180" s="1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6">
        <v>177.0</v>
      </c>
      <c r="B181" s="56" t="s">
        <v>203</v>
      </c>
      <c r="C181" s="56" t="s">
        <v>33</v>
      </c>
      <c r="D181" s="57">
        <v>2.0</v>
      </c>
      <c r="E181" s="14"/>
      <c r="F181" s="14"/>
      <c r="G181" s="14"/>
      <c r="H181" s="1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6">
        <v>178.0</v>
      </c>
      <c r="B182" s="56" t="s">
        <v>204</v>
      </c>
      <c r="C182" s="56" t="s">
        <v>33</v>
      </c>
      <c r="D182" s="57">
        <v>2.0</v>
      </c>
      <c r="E182" s="14"/>
      <c r="F182" s="14"/>
      <c r="G182" s="14"/>
      <c r="H182" s="1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6">
        <v>179.0</v>
      </c>
      <c r="B183" s="56" t="s">
        <v>205</v>
      </c>
      <c r="C183" s="56" t="s">
        <v>33</v>
      </c>
      <c r="D183" s="57">
        <v>2.0</v>
      </c>
      <c r="E183" s="14"/>
      <c r="F183" s="14"/>
      <c r="G183" s="14"/>
      <c r="H183" s="1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6">
        <v>180.0</v>
      </c>
      <c r="B184" s="56" t="s">
        <v>206</v>
      </c>
      <c r="C184" s="56" t="s">
        <v>33</v>
      </c>
      <c r="D184" s="57">
        <v>2.0</v>
      </c>
      <c r="E184" s="14"/>
      <c r="F184" s="14"/>
      <c r="G184" s="14"/>
      <c r="H184" s="1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6">
        <v>181.0</v>
      </c>
      <c r="B185" s="56" t="s">
        <v>207</v>
      </c>
      <c r="C185" s="56" t="s">
        <v>33</v>
      </c>
      <c r="D185" s="57">
        <v>2.0</v>
      </c>
      <c r="E185" s="14"/>
      <c r="F185" s="14"/>
      <c r="G185" s="14"/>
      <c r="H185" s="1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6">
        <v>182.0</v>
      </c>
      <c r="B186" s="56" t="s">
        <v>208</v>
      </c>
      <c r="C186" s="56" t="s">
        <v>33</v>
      </c>
      <c r="D186" s="57">
        <v>2.0</v>
      </c>
      <c r="E186" s="14"/>
      <c r="F186" s="14"/>
      <c r="G186" s="14"/>
      <c r="H186" s="1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6">
        <v>183.0</v>
      </c>
      <c r="B187" s="56" t="s">
        <v>209</v>
      </c>
      <c r="C187" s="56" t="s">
        <v>33</v>
      </c>
      <c r="D187" s="57">
        <v>2.0</v>
      </c>
      <c r="E187" s="14"/>
      <c r="F187" s="14"/>
      <c r="G187" s="14"/>
      <c r="H187" s="1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6">
        <v>184.0</v>
      </c>
      <c r="B188" s="56" t="s">
        <v>210</v>
      </c>
      <c r="C188" s="56" t="s">
        <v>33</v>
      </c>
      <c r="D188" s="57">
        <v>2.0</v>
      </c>
      <c r="E188" s="14"/>
      <c r="F188" s="14"/>
      <c r="G188" s="14"/>
      <c r="H188" s="1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6">
        <v>185.0</v>
      </c>
      <c r="B189" s="56" t="s">
        <v>211</v>
      </c>
      <c r="C189" s="56" t="s">
        <v>33</v>
      </c>
      <c r="D189" s="57">
        <v>2.0</v>
      </c>
      <c r="E189" s="14"/>
      <c r="F189" s="14"/>
      <c r="G189" s="14"/>
      <c r="H189" s="1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6">
        <v>186.0</v>
      </c>
      <c r="B190" s="56" t="s">
        <v>212</v>
      </c>
      <c r="C190" s="56" t="s">
        <v>33</v>
      </c>
      <c r="D190" s="57">
        <v>2.0</v>
      </c>
      <c r="E190" s="14"/>
      <c r="F190" s="14"/>
      <c r="G190" s="14"/>
      <c r="H190" s="1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6">
        <v>187.0</v>
      </c>
      <c r="B191" s="56" t="s">
        <v>213</v>
      </c>
      <c r="C191" s="56" t="s">
        <v>33</v>
      </c>
      <c r="D191" s="57">
        <v>2.0</v>
      </c>
      <c r="E191" s="14"/>
      <c r="F191" s="14"/>
      <c r="G191" s="14"/>
      <c r="H191" s="1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6">
        <v>188.0</v>
      </c>
      <c r="B192" s="56" t="s">
        <v>214</v>
      </c>
      <c r="C192" s="56" t="s">
        <v>33</v>
      </c>
      <c r="D192" s="57">
        <v>2.0</v>
      </c>
      <c r="E192" s="14"/>
      <c r="F192" s="14"/>
      <c r="G192" s="14"/>
      <c r="H192" s="1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6">
        <v>189.0</v>
      </c>
      <c r="B193" s="56" t="s">
        <v>215</v>
      </c>
      <c r="C193" s="56" t="s">
        <v>33</v>
      </c>
      <c r="D193" s="57">
        <v>2.0</v>
      </c>
      <c r="E193" s="14"/>
      <c r="F193" s="14"/>
      <c r="G193" s="14"/>
      <c r="H193" s="1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6">
        <v>190.0</v>
      </c>
      <c r="B194" s="56" t="s">
        <v>216</v>
      </c>
      <c r="C194" s="56" t="s">
        <v>33</v>
      </c>
      <c r="D194" s="57">
        <v>2.0</v>
      </c>
      <c r="E194" s="14"/>
      <c r="F194" s="14"/>
      <c r="G194" s="14"/>
      <c r="H194" s="1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6">
        <v>191.0</v>
      </c>
      <c r="B195" s="56" t="s">
        <v>217</v>
      </c>
      <c r="C195" s="56" t="s">
        <v>33</v>
      </c>
      <c r="D195" s="57">
        <v>2.0</v>
      </c>
      <c r="E195" s="14"/>
      <c r="F195" s="14"/>
      <c r="G195" s="14"/>
      <c r="H195" s="1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6">
        <v>192.0</v>
      </c>
      <c r="B196" s="56" t="s">
        <v>218</v>
      </c>
      <c r="C196" s="56" t="s">
        <v>33</v>
      </c>
      <c r="D196" s="57">
        <v>2.0</v>
      </c>
      <c r="E196" s="14"/>
      <c r="F196" s="14"/>
      <c r="G196" s="14"/>
      <c r="H196" s="1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6">
        <v>193.0</v>
      </c>
      <c r="B197" s="56" t="s">
        <v>219</v>
      </c>
      <c r="C197" s="56" t="s">
        <v>33</v>
      </c>
      <c r="D197" s="57">
        <v>2.0</v>
      </c>
      <c r="E197" s="14"/>
      <c r="F197" s="14"/>
      <c r="G197" s="14"/>
      <c r="H197" s="1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6">
        <v>194.0</v>
      </c>
      <c r="B198" s="56" t="s">
        <v>220</v>
      </c>
      <c r="C198" s="56" t="s">
        <v>33</v>
      </c>
      <c r="D198" s="57">
        <v>2.0</v>
      </c>
      <c r="E198" s="14"/>
      <c r="F198" s="14"/>
      <c r="G198" s="14"/>
      <c r="H198" s="1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6">
        <v>195.0</v>
      </c>
      <c r="B199" s="56" t="s">
        <v>221</v>
      </c>
      <c r="C199" s="56" t="s">
        <v>33</v>
      </c>
      <c r="D199" s="57">
        <v>2.0</v>
      </c>
      <c r="E199" s="14"/>
      <c r="F199" s="14"/>
      <c r="G199" s="14"/>
      <c r="H199" s="1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6">
        <v>196.0</v>
      </c>
      <c r="B200" s="56" t="s">
        <v>222</v>
      </c>
      <c r="C200" s="56" t="s">
        <v>33</v>
      </c>
      <c r="D200" s="57">
        <v>2.0</v>
      </c>
      <c r="E200" s="14"/>
      <c r="F200" s="14"/>
      <c r="G200" s="14"/>
      <c r="H200" s="1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6">
        <v>197.0</v>
      </c>
      <c r="B201" s="56" t="s">
        <v>223</v>
      </c>
      <c r="C201" s="56" t="s">
        <v>33</v>
      </c>
      <c r="D201" s="57">
        <v>2.0</v>
      </c>
      <c r="E201" s="14"/>
      <c r="F201" s="14"/>
      <c r="G201" s="14"/>
      <c r="H201" s="1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6">
        <v>198.0</v>
      </c>
      <c r="B202" s="56" t="s">
        <v>224</v>
      </c>
      <c r="C202" s="56" t="s">
        <v>33</v>
      </c>
      <c r="D202" s="57">
        <v>2.0</v>
      </c>
      <c r="E202" s="14"/>
      <c r="F202" s="14"/>
      <c r="G202" s="14"/>
      <c r="H202" s="1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6">
        <v>199.0</v>
      </c>
      <c r="B203" s="56" t="s">
        <v>225</v>
      </c>
      <c r="C203" s="56" t="s">
        <v>33</v>
      </c>
      <c r="D203" s="57">
        <v>2.0</v>
      </c>
      <c r="E203" s="14"/>
      <c r="F203" s="14"/>
      <c r="G203" s="14"/>
      <c r="H203" s="1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6">
        <v>200.0</v>
      </c>
      <c r="B204" s="56" t="s">
        <v>226</v>
      </c>
      <c r="C204" s="56" t="s">
        <v>33</v>
      </c>
      <c r="D204" s="57">
        <v>2.0</v>
      </c>
      <c r="E204" s="14"/>
      <c r="F204" s="14"/>
      <c r="G204" s="14"/>
      <c r="H204" s="1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6">
        <v>201.0</v>
      </c>
      <c r="B205" s="56" t="s">
        <v>227</v>
      </c>
      <c r="C205" s="56" t="s">
        <v>33</v>
      </c>
      <c r="D205" s="57">
        <v>2.0</v>
      </c>
      <c r="E205" s="14"/>
      <c r="F205" s="14"/>
      <c r="G205" s="14"/>
      <c r="H205" s="1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6">
        <v>202.0</v>
      </c>
      <c r="B206" s="56" t="s">
        <v>228</v>
      </c>
      <c r="C206" s="56" t="s">
        <v>33</v>
      </c>
      <c r="D206" s="57">
        <v>2.0</v>
      </c>
      <c r="E206" s="14"/>
      <c r="F206" s="14"/>
      <c r="G206" s="14"/>
      <c r="H206" s="1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6">
        <v>203.0</v>
      </c>
      <c r="B207" s="56" t="s">
        <v>229</v>
      </c>
      <c r="C207" s="56" t="s">
        <v>24</v>
      </c>
      <c r="D207" s="57">
        <v>3.0</v>
      </c>
      <c r="E207" s="14"/>
      <c r="F207" s="14"/>
      <c r="G207" s="14"/>
      <c r="H207" s="1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6">
        <v>204.0</v>
      </c>
      <c r="B208" s="56" t="s">
        <v>230</v>
      </c>
      <c r="C208" s="56" t="s">
        <v>31</v>
      </c>
      <c r="D208" s="57">
        <v>3.0</v>
      </c>
      <c r="E208" s="14"/>
      <c r="F208" s="14"/>
      <c r="G208" s="14"/>
      <c r="H208" s="1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6">
        <v>205.0</v>
      </c>
      <c r="B209" s="56" t="s">
        <v>231</v>
      </c>
      <c r="C209" s="56" t="s">
        <v>33</v>
      </c>
      <c r="D209" s="57">
        <v>3.0</v>
      </c>
      <c r="E209" s="14"/>
      <c r="F209" s="14"/>
      <c r="G209" s="14"/>
      <c r="H209" s="1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6">
        <v>206.0</v>
      </c>
      <c r="B210" s="56" t="s">
        <v>232</v>
      </c>
      <c r="C210" s="56" t="s">
        <v>33</v>
      </c>
      <c r="D210" s="57">
        <v>3.0</v>
      </c>
      <c r="E210" s="14"/>
      <c r="F210" s="14"/>
      <c r="G210" s="14"/>
      <c r="H210" s="1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6">
        <v>207.0</v>
      </c>
      <c r="B211" s="56" t="s">
        <v>233</v>
      </c>
      <c r="C211" s="56" t="s">
        <v>33</v>
      </c>
      <c r="D211" s="57">
        <v>3.0</v>
      </c>
      <c r="E211" s="14"/>
      <c r="F211" s="14"/>
      <c r="G211" s="14"/>
      <c r="H211" s="1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6">
        <v>208.0</v>
      </c>
      <c r="B212" s="56" t="s">
        <v>234</v>
      </c>
      <c r="C212" s="56" t="s">
        <v>33</v>
      </c>
      <c r="D212" s="57">
        <v>3.0</v>
      </c>
      <c r="E212" s="14"/>
      <c r="F212" s="14"/>
      <c r="G212" s="14"/>
      <c r="H212" s="1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6">
        <v>209.0</v>
      </c>
      <c r="B213" s="56" t="s">
        <v>235</v>
      </c>
      <c r="C213" s="56" t="s">
        <v>33</v>
      </c>
      <c r="D213" s="57">
        <v>3.0</v>
      </c>
      <c r="E213" s="14"/>
      <c r="F213" s="14"/>
      <c r="G213" s="14"/>
      <c r="H213" s="1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6">
        <v>210.0</v>
      </c>
      <c r="B214" s="56" t="s">
        <v>236</v>
      </c>
      <c r="C214" s="56" t="s">
        <v>33</v>
      </c>
      <c r="D214" s="57">
        <v>3.0</v>
      </c>
      <c r="E214" s="14"/>
      <c r="F214" s="14"/>
      <c r="G214" s="14"/>
      <c r="H214" s="1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6">
        <v>211.0</v>
      </c>
      <c r="B215" s="56" t="s">
        <v>237</v>
      </c>
      <c r="C215" s="56" t="s">
        <v>33</v>
      </c>
      <c r="D215" s="57">
        <v>3.0</v>
      </c>
      <c r="E215" s="14"/>
      <c r="F215" s="14"/>
      <c r="G215" s="14"/>
      <c r="H215" s="1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6">
        <v>212.0</v>
      </c>
      <c r="B216" s="56" t="s">
        <v>238</v>
      </c>
      <c r="C216" s="56" t="s">
        <v>33</v>
      </c>
      <c r="D216" s="57">
        <v>3.0</v>
      </c>
      <c r="E216" s="14"/>
      <c r="F216" s="14"/>
      <c r="G216" s="14"/>
      <c r="H216" s="1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6">
        <v>213.0</v>
      </c>
      <c r="B217" s="56" t="s">
        <v>239</v>
      </c>
      <c r="C217" s="56" t="s">
        <v>33</v>
      </c>
      <c r="D217" s="57">
        <v>3.0</v>
      </c>
      <c r="E217" s="14"/>
      <c r="F217" s="14"/>
      <c r="G217" s="14"/>
      <c r="H217" s="1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6">
        <v>214.0</v>
      </c>
      <c r="B218" s="56" t="s">
        <v>240</v>
      </c>
      <c r="C218" s="56" t="s">
        <v>33</v>
      </c>
      <c r="D218" s="57">
        <v>3.0</v>
      </c>
      <c r="E218" s="14"/>
      <c r="F218" s="14"/>
      <c r="G218" s="14"/>
      <c r="H218" s="1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6">
        <v>215.0</v>
      </c>
      <c r="B219" s="56" t="s">
        <v>241</v>
      </c>
      <c r="C219" s="56" t="s">
        <v>33</v>
      </c>
      <c r="D219" s="57">
        <v>3.0</v>
      </c>
      <c r="E219" s="14"/>
      <c r="F219" s="14"/>
      <c r="G219" s="14"/>
      <c r="H219" s="1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6">
        <v>216.0</v>
      </c>
      <c r="B220" s="56" t="s">
        <v>242</v>
      </c>
      <c r="C220" s="56" t="s">
        <v>33</v>
      </c>
      <c r="D220" s="57">
        <v>3.0</v>
      </c>
      <c r="E220" s="14"/>
      <c r="F220" s="14"/>
      <c r="G220" s="14"/>
      <c r="H220" s="1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6">
        <v>217.0</v>
      </c>
      <c r="B221" s="56" t="s">
        <v>243</v>
      </c>
      <c r="C221" s="56" t="s">
        <v>33</v>
      </c>
      <c r="D221" s="57">
        <v>3.0</v>
      </c>
      <c r="E221" s="14"/>
      <c r="F221" s="14"/>
      <c r="G221" s="14"/>
      <c r="H221" s="1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6">
        <v>218.0</v>
      </c>
      <c r="B222" s="56" t="s">
        <v>244</v>
      </c>
      <c r="C222" s="56" t="s">
        <v>33</v>
      </c>
      <c r="D222" s="57">
        <v>3.0</v>
      </c>
      <c r="E222" s="14"/>
      <c r="F222" s="14"/>
      <c r="G222" s="14"/>
      <c r="H222" s="1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6">
        <v>219.0</v>
      </c>
      <c r="B223" s="56" t="s">
        <v>245</v>
      </c>
      <c r="C223" s="56" t="s">
        <v>33</v>
      </c>
      <c r="D223" s="57">
        <v>3.0</v>
      </c>
      <c r="E223" s="14"/>
      <c r="F223" s="14"/>
      <c r="G223" s="14"/>
      <c r="H223" s="1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6">
        <v>220.0</v>
      </c>
      <c r="B224" s="56" t="s">
        <v>246</v>
      </c>
      <c r="C224" s="56" t="s">
        <v>33</v>
      </c>
      <c r="D224" s="57">
        <v>3.0</v>
      </c>
      <c r="E224" s="14"/>
      <c r="F224" s="14"/>
      <c r="G224" s="14"/>
      <c r="H224" s="1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6">
        <v>221.0</v>
      </c>
      <c r="B225" s="56" t="s">
        <v>247</v>
      </c>
      <c r="C225" s="56" t="s">
        <v>33</v>
      </c>
      <c r="D225" s="57">
        <v>3.0</v>
      </c>
      <c r="E225" s="14"/>
      <c r="F225" s="14"/>
      <c r="G225" s="14"/>
      <c r="H225" s="1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6">
        <v>222.0</v>
      </c>
      <c r="B226" s="56" t="s">
        <v>248</v>
      </c>
      <c r="C226" s="56" t="s">
        <v>33</v>
      </c>
      <c r="D226" s="57">
        <v>3.0</v>
      </c>
      <c r="E226" s="14"/>
      <c r="F226" s="14"/>
      <c r="G226" s="14"/>
      <c r="H226" s="1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6">
        <v>223.0</v>
      </c>
      <c r="B227" s="56" t="s">
        <v>249</v>
      </c>
      <c r="C227" s="56" t="s">
        <v>33</v>
      </c>
      <c r="D227" s="57">
        <v>3.0</v>
      </c>
      <c r="E227" s="14"/>
      <c r="F227" s="14"/>
      <c r="G227" s="14"/>
      <c r="H227" s="1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6">
        <v>224.0</v>
      </c>
      <c r="B228" s="56" t="s">
        <v>250</v>
      </c>
      <c r="C228" s="56" t="s">
        <v>33</v>
      </c>
      <c r="D228" s="57">
        <v>3.0</v>
      </c>
      <c r="E228" s="14"/>
      <c r="F228" s="14"/>
      <c r="G228" s="14"/>
      <c r="H228" s="1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6">
        <v>225.0</v>
      </c>
      <c r="B229" s="56" t="s">
        <v>251</v>
      </c>
      <c r="C229" s="56" t="s">
        <v>33</v>
      </c>
      <c r="D229" s="57">
        <v>3.0</v>
      </c>
      <c r="E229" s="14"/>
      <c r="F229" s="14"/>
      <c r="G229" s="14"/>
      <c r="H229" s="1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6">
        <v>226.0</v>
      </c>
      <c r="B230" s="56" t="s">
        <v>252</v>
      </c>
      <c r="C230" s="56" t="s">
        <v>33</v>
      </c>
      <c r="D230" s="57">
        <v>3.0</v>
      </c>
      <c r="E230" s="14"/>
      <c r="F230" s="14"/>
      <c r="G230" s="14"/>
      <c r="H230" s="1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6">
        <v>227.0</v>
      </c>
      <c r="B231" s="56" t="s">
        <v>253</v>
      </c>
      <c r="C231" s="56" t="s">
        <v>33</v>
      </c>
      <c r="D231" s="57">
        <v>3.0</v>
      </c>
      <c r="E231" s="14"/>
      <c r="F231" s="14"/>
      <c r="G231" s="14"/>
      <c r="H231" s="1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6">
        <v>228.0</v>
      </c>
      <c r="B232" s="56" t="s">
        <v>254</v>
      </c>
      <c r="C232" s="56" t="s">
        <v>33</v>
      </c>
      <c r="D232" s="57">
        <v>3.0</v>
      </c>
      <c r="E232" s="14"/>
      <c r="F232" s="14"/>
      <c r="G232" s="14"/>
      <c r="H232" s="1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6">
        <v>229.0</v>
      </c>
      <c r="B233" s="56" t="s">
        <v>255</v>
      </c>
      <c r="C233" s="56" t="s">
        <v>33</v>
      </c>
      <c r="D233" s="57">
        <v>3.0</v>
      </c>
      <c r="E233" s="14"/>
      <c r="F233" s="14"/>
      <c r="G233" s="14"/>
      <c r="H233" s="1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6">
        <v>230.0</v>
      </c>
      <c r="B234" s="56" t="s">
        <v>256</v>
      </c>
      <c r="C234" s="56" t="s">
        <v>33</v>
      </c>
      <c r="D234" s="57">
        <v>3.0</v>
      </c>
      <c r="E234" s="14"/>
      <c r="F234" s="14"/>
      <c r="G234" s="14"/>
      <c r="H234" s="1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6">
        <v>231.0</v>
      </c>
      <c r="B235" s="56" t="s">
        <v>257</v>
      </c>
      <c r="C235" s="56" t="s">
        <v>33</v>
      </c>
      <c r="D235" s="57">
        <v>3.0</v>
      </c>
      <c r="E235" s="14"/>
      <c r="F235" s="14"/>
      <c r="G235" s="14"/>
      <c r="H235" s="1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6">
        <v>232.0</v>
      </c>
      <c r="B236" s="56" t="s">
        <v>258</v>
      </c>
      <c r="C236" s="56" t="s">
        <v>33</v>
      </c>
      <c r="D236" s="57">
        <v>3.0</v>
      </c>
      <c r="E236" s="14"/>
      <c r="F236" s="14"/>
      <c r="G236" s="14"/>
      <c r="H236" s="1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6">
        <v>233.0</v>
      </c>
      <c r="B237" s="56" t="s">
        <v>259</v>
      </c>
      <c r="C237" s="56" t="s">
        <v>33</v>
      </c>
      <c r="D237" s="57">
        <v>3.0</v>
      </c>
      <c r="E237" s="14"/>
      <c r="F237" s="14"/>
      <c r="G237" s="14"/>
      <c r="H237" s="1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6">
        <v>234.0</v>
      </c>
      <c r="B238" s="56" t="s">
        <v>260</v>
      </c>
      <c r="C238" s="56" t="s">
        <v>33</v>
      </c>
      <c r="D238" s="57">
        <v>3.0</v>
      </c>
      <c r="E238" s="14"/>
      <c r="F238" s="14"/>
      <c r="G238" s="14"/>
      <c r="H238" s="1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6">
        <v>235.0</v>
      </c>
      <c r="B239" s="56" t="s">
        <v>261</v>
      </c>
      <c r="C239" s="56" t="s">
        <v>33</v>
      </c>
      <c r="D239" s="57">
        <v>3.0</v>
      </c>
      <c r="E239" s="14"/>
      <c r="F239" s="14"/>
      <c r="G239" s="14"/>
      <c r="H239" s="1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6">
        <v>236.0</v>
      </c>
      <c r="B240" s="56" t="s">
        <v>262</v>
      </c>
      <c r="C240" s="56" t="s">
        <v>33</v>
      </c>
      <c r="D240" s="57">
        <v>3.0</v>
      </c>
      <c r="E240" s="14"/>
      <c r="F240" s="14"/>
      <c r="G240" s="14"/>
      <c r="H240" s="1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6">
        <v>237.0</v>
      </c>
      <c r="B241" s="56" t="s">
        <v>263</v>
      </c>
      <c r="C241" s="56" t="s">
        <v>33</v>
      </c>
      <c r="D241" s="57">
        <v>3.0</v>
      </c>
      <c r="E241" s="14"/>
      <c r="F241" s="14"/>
      <c r="G241" s="14"/>
      <c r="H241" s="1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6">
        <v>238.0</v>
      </c>
      <c r="B242" s="56" t="s">
        <v>264</v>
      </c>
      <c r="C242" s="56" t="s">
        <v>33</v>
      </c>
      <c r="D242" s="57">
        <v>3.0</v>
      </c>
      <c r="E242" s="14"/>
      <c r="F242" s="14"/>
      <c r="G242" s="14"/>
      <c r="H242" s="1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6">
        <v>239.0</v>
      </c>
      <c r="B243" s="56" t="s">
        <v>265</v>
      </c>
      <c r="C243" s="56" t="s">
        <v>33</v>
      </c>
      <c r="D243" s="57">
        <v>3.0</v>
      </c>
      <c r="E243" s="14"/>
      <c r="F243" s="14"/>
      <c r="G243" s="14"/>
      <c r="H243" s="1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6">
        <v>240.0</v>
      </c>
      <c r="B244" s="56" t="s">
        <v>266</v>
      </c>
      <c r="C244" s="56" t="s">
        <v>33</v>
      </c>
      <c r="D244" s="57">
        <v>3.0</v>
      </c>
      <c r="E244" s="14"/>
      <c r="F244" s="14"/>
      <c r="G244" s="14"/>
      <c r="H244" s="1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6">
        <v>241.0</v>
      </c>
      <c r="B245" s="56" t="s">
        <v>267</v>
      </c>
      <c r="C245" s="56" t="s">
        <v>33</v>
      </c>
      <c r="D245" s="57">
        <v>3.0</v>
      </c>
      <c r="E245" s="14"/>
      <c r="F245" s="14"/>
      <c r="G245" s="14"/>
      <c r="H245" s="1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6">
        <v>242.0</v>
      </c>
      <c r="B246" s="56" t="s">
        <v>268</v>
      </c>
      <c r="C246" s="56" t="s">
        <v>33</v>
      </c>
      <c r="D246" s="57">
        <v>3.0</v>
      </c>
      <c r="E246" s="14"/>
      <c r="F246" s="14"/>
      <c r="G246" s="14"/>
      <c r="H246" s="1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6">
        <v>243.0</v>
      </c>
      <c r="B247" s="56" t="s">
        <v>269</v>
      </c>
      <c r="C247" s="56" t="s">
        <v>33</v>
      </c>
      <c r="D247" s="57">
        <v>3.0</v>
      </c>
      <c r="E247" s="14"/>
      <c r="F247" s="14"/>
      <c r="G247" s="14"/>
      <c r="H247" s="1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6">
        <v>244.0</v>
      </c>
      <c r="B248" s="56" t="s">
        <v>270</v>
      </c>
      <c r="C248" s="56" t="s">
        <v>24</v>
      </c>
      <c r="D248" s="57">
        <v>4.0</v>
      </c>
      <c r="E248" s="14"/>
      <c r="F248" s="14"/>
      <c r="G248" s="14"/>
      <c r="H248" s="1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6">
        <v>245.0</v>
      </c>
      <c r="B249" s="56" t="s">
        <v>271</v>
      </c>
      <c r="C249" s="56" t="s">
        <v>24</v>
      </c>
      <c r="D249" s="57">
        <v>4.0</v>
      </c>
      <c r="E249" s="14"/>
      <c r="F249" s="14"/>
      <c r="G249" s="14"/>
      <c r="H249" s="1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6">
        <v>246.0</v>
      </c>
      <c r="B250" s="56" t="s">
        <v>272</v>
      </c>
      <c r="C250" s="56" t="s">
        <v>24</v>
      </c>
      <c r="D250" s="57">
        <v>4.0</v>
      </c>
      <c r="E250" s="14"/>
      <c r="F250" s="14"/>
      <c r="G250" s="14"/>
      <c r="H250" s="1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6">
        <v>247.0</v>
      </c>
      <c r="B251" s="56" t="s">
        <v>273</v>
      </c>
      <c r="C251" s="56" t="s">
        <v>24</v>
      </c>
      <c r="D251" s="57">
        <v>4.0</v>
      </c>
      <c r="E251" s="14"/>
      <c r="F251" s="14"/>
      <c r="G251" s="14"/>
      <c r="H251" s="1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6">
        <v>248.0</v>
      </c>
      <c r="B252" s="56" t="s">
        <v>274</v>
      </c>
      <c r="C252" s="56" t="s">
        <v>24</v>
      </c>
      <c r="D252" s="57">
        <v>4.0</v>
      </c>
      <c r="E252" s="14"/>
      <c r="F252" s="14"/>
      <c r="G252" s="14"/>
      <c r="H252" s="1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6">
        <v>249.0</v>
      </c>
      <c r="B253" s="56" t="s">
        <v>275</v>
      </c>
      <c r="C253" s="56" t="s">
        <v>24</v>
      </c>
      <c r="D253" s="57">
        <v>4.0</v>
      </c>
      <c r="E253" s="14"/>
      <c r="F253" s="14"/>
      <c r="G253" s="14"/>
      <c r="H253" s="1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6">
        <v>250.0</v>
      </c>
      <c r="B254" s="56" t="s">
        <v>276</v>
      </c>
      <c r="C254" s="56" t="s">
        <v>33</v>
      </c>
      <c r="D254" s="57">
        <v>4.0</v>
      </c>
      <c r="E254" s="14"/>
      <c r="F254" s="14"/>
      <c r="G254" s="14"/>
      <c r="H254" s="1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6">
        <v>251.0</v>
      </c>
      <c r="B255" s="56" t="s">
        <v>277</v>
      </c>
      <c r="C255" s="56" t="s">
        <v>33</v>
      </c>
      <c r="D255" s="57">
        <v>4.0</v>
      </c>
      <c r="E255" s="14"/>
      <c r="F255" s="14"/>
      <c r="G255" s="14"/>
      <c r="H255" s="1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6">
        <v>252.0</v>
      </c>
      <c r="B256" s="56" t="s">
        <v>278</v>
      </c>
      <c r="C256" s="56" t="s">
        <v>33</v>
      </c>
      <c r="D256" s="57">
        <v>4.0</v>
      </c>
      <c r="E256" s="14"/>
      <c r="F256" s="14"/>
      <c r="G256" s="14"/>
      <c r="H256" s="1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6">
        <v>253.0</v>
      </c>
      <c r="B257" s="56" t="s">
        <v>279</v>
      </c>
      <c r="C257" s="56" t="s">
        <v>33</v>
      </c>
      <c r="D257" s="57">
        <v>4.0</v>
      </c>
      <c r="E257" s="14"/>
      <c r="F257" s="14"/>
      <c r="G257" s="14"/>
      <c r="H257" s="1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6">
        <v>254.0</v>
      </c>
      <c r="B258" s="56" t="s">
        <v>280</v>
      </c>
      <c r="C258" s="56" t="s">
        <v>33</v>
      </c>
      <c r="D258" s="57">
        <v>4.0</v>
      </c>
      <c r="E258" s="14"/>
      <c r="F258" s="14"/>
      <c r="G258" s="14"/>
      <c r="H258" s="1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6">
        <v>255.0</v>
      </c>
      <c r="B259" s="56" t="s">
        <v>281</v>
      </c>
      <c r="C259" s="56" t="s">
        <v>33</v>
      </c>
      <c r="D259" s="57">
        <v>4.0</v>
      </c>
      <c r="E259" s="14"/>
      <c r="F259" s="14"/>
      <c r="G259" s="14"/>
      <c r="H259" s="1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6">
        <v>256.0</v>
      </c>
      <c r="B260" s="56" t="s">
        <v>282</v>
      </c>
      <c r="C260" s="56" t="s">
        <v>33</v>
      </c>
      <c r="D260" s="57">
        <v>4.0</v>
      </c>
      <c r="E260" s="14"/>
      <c r="F260" s="14"/>
      <c r="G260" s="14"/>
      <c r="H260" s="1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6">
        <v>257.0</v>
      </c>
      <c r="B261" s="56" t="s">
        <v>283</v>
      </c>
      <c r="C261" s="56" t="s">
        <v>33</v>
      </c>
      <c r="D261" s="57">
        <v>4.0</v>
      </c>
      <c r="E261" s="14"/>
      <c r="F261" s="14"/>
      <c r="G261" s="14"/>
      <c r="H261" s="1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6">
        <v>258.0</v>
      </c>
      <c r="B262" s="56" t="s">
        <v>284</v>
      </c>
      <c r="C262" s="56" t="s">
        <v>33</v>
      </c>
      <c r="D262" s="57">
        <v>4.0</v>
      </c>
      <c r="E262" s="14"/>
      <c r="F262" s="14"/>
      <c r="G262" s="14"/>
      <c r="H262" s="1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6">
        <v>259.0</v>
      </c>
      <c r="B263" s="56" t="s">
        <v>285</v>
      </c>
      <c r="C263" s="56" t="s">
        <v>33</v>
      </c>
      <c r="D263" s="57">
        <v>4.0</v>
      </c>
      <c r="E263" s="14"/>
      <c r="F263" s="14"/>
      <c r="G263" s="14"/>
      <c r="H263" s="1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6">
        <v>260.0</v>
      </c>
      <c r="B264" s="56" t="s">
        <v>286</v>
      </c>
      <c r="C264" s="56" t="s">
        <v>33</v>
      </c>
      <c r="D264" s="57">
        <v>4.0</v>
      </c>
      <c r="E264" s="14"/>
      <c r="F264" s="14"/>
      <c r="G264" s="14"/>
      <c r="H264" s="1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6">
        <v>261.0</v>
      </c>
      <c r="B265" s="56" t="s">
        <v>287</v>
      </c>
      <c r="C265" s="56" t="s">
        <v>33</v>
      </c>
      <c r="D265" s="57">
        <v>4.0</v>
      </c>
      <c r="E265" s="14"/>
      <c r="F265" s="14"/>
      <c r="G265" s="14"/>
      <c r="H265" s="1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6">
        <v>262.0</v>
      </c>
      <c r="B266" s="56" t="s">
        <v>288</v>
      </c>
      <c r="C266" s="56" t="s">
        <v>33</v>
      </c>
      <c r="D266" s="57">
        <v>4.0</v>
      </c>
      <c r="E266" s="14"/>
      <c r="F266" s="14"/>
      <c r="G266" s="14"/>
      <c r="H266" s="1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6">
        <v>263.0</v>
      </c>
      <c r="B267" s="56" t="s">
        <v>289</v>
      </c>
      <c r="C267" s="56" t="s">
        <v>33</v>
      </c>
      <c r="D267" s="57">
        <v>4.0</v>
      </c>
      <c r="E267" s="14"/>
      <c r="F267" s="14"/>
      <c r="G267" s="14"/>
      <c r="H267" s="1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6">
        <v>264.0</v>
      </c>
      <c r="B268" s="56" t="s">
        <v>290</v>
      </c>
      <c r="C268" s="56" t="s">
        <v>33</v>
      </c>
      <c r="D268" s="57">
        <v>4.0</v>
      </c>
      <c r="E268" s="14"/>
      <c r="F268" s="14"/>
      <c r="G268" s="14"/>
      <c r="H268" s="1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6">
        <v>265.0</v>
      </c>
      <c r="B269" s="56" t="s">
        <v>291</v>
      </c>
      <c r="C269" s="56" t="s">
        <v>33</v>
      </c>
      <c r="D269" s="57">
        <v>4.0</v>
      </c>
      <c r="E269" s="14"/>
      <c r="F269" s="14"/>
      <c r="G269" s="14"/>
      <c r="H269" s="1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6">
        <v>266.0</v>
      </c>
      <c r="B270" s="56" t="s">
        <v>292</v>
      </c>
      <c r="C270" s="56" t="s">
        <v>33</v>
      </c>
      <c r="D270" s="57">
        <v>4.0</v>
      </c>
      <c r="E270" s="14"/>
      <c r="F270" s="14"/>
      <c r="G270" s="14"/>
      <c r="H270" s="1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6">
        <v>267.0</v>
      </c>
      <c r="B271" s="56" t="s">
        <v>293</v>
      </c>
      <c r="C271" s="56" t="s">
        <v>33</v>
      </c>
      <c r="D271" s="57">
        <v>4.0</v>
      </c>
      <c r="E271" s="14"/>
      <c r="F271" s="14"/>
      <c r="G271" s="14"/>
      <c r="H271" s="1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6">
        <v>268.0</v>
      </c>
      <c r="B272" s="56" t="s">
        <v>294</v>
      </c>
      <c r="C272" s="56" t="s">
        <v>33</v>
      </c>
      <c r="D272" s="57">
        <v>4.0</v>
      </c>
      <c r="E272" s="14"/>
      <c r="F272" s="14"/>
      <c r="G272" s="14"/>
      <c r="H272" s="1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6">
        <v>269.0</v>
      </c>
      <c r="B273" s="56" t="s">
        <v>295</v>
      </c>
      <c r="C273" s="56" t="s">
        <v>33</v>
      </c>
      <c r="D273" s="57">
        <v>4.0</v>
      </c>
      <c r="E273" s="14"/>
      <c r="F273" s="14"/>
      <c r="G273" s="14"/>
      <c r="H273" s="1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6">
        <v>270.0</v>
      </c>
      <c r="B274" s="56" t="s">
        <v>296</v>
      </c>
      <c r="C274" s="56" t="s">
        <v>33</v>
      </c>
      <c r="D274" s="57">
        <v>4.0</v>
      </c>
      <c r="E274" s="14"/>
      <c r="F274" s="14"/>
      <c r="G274" s="14"/>
      <c r="H274" s="1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6">
        <v>271.0</v>
      </c>
      <c r="B275" s="56" t="s">
        <v>297</v>
      </c>
      <c r="C275" s="56" t="s">
        <v>33</v>
      </c>
      <c r="D275" s="57">
        <v>4.0</v>
      </c>
      <c r="E275" s="14"/>
      <c r="F275" s="14"/>
      <c r="G275" s="14"/>
      <c r="H275" s="1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6">
        <v>272.0</v>
      </c>
      <c r="B276" s="56" t="s">
        <v>298</v>
      </c>
      <c r="C276" s="56" t="s">
        <v>33</v>
      </c>
      <c r="D276" s="57">
        <v>4.0</v>
      </c>
      <c r="E276" s="14"/>
      <c r="F276" s="14"/>
      <c r="G276" s="14"/>
      <c r="H276" s="1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6">
        <v>273.0</v>
      </c>
      <c r="B277" s="56" t="s">
        <v>299</v>
      </c>
      <c r="C277" s="56" t="s">
        <v>33</v>
      </c>
      <c r="D277" s="57">
        <v>4.0</v>
      </c>
      <c r="E277" s="14"/>
      <c r="F277" s="14"/>
      <c r="G277" s="14"/>
      <c r="H277" s="1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6">
        <v>274.0</v>
      </c>
      <c r="B278" s="56" t="s">
        <v>300</v>
      </c>
      <c r="C278" s="56" t="s">
        <v>33</v>
      </c>
      <c r="D278" s="57">
        <v>4.0</v>
      </c>
      <c r="E278" s="14"/>
      <c r="F278" s="14"/>
      <c r="G278" s="14"/>
      <c r="H278" s="1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6">
        <v>275.0</v>
      </c>
      <c r="B279" s="56" t="s">
        <v>301</v>
      </c>
      <c r="C279" s="56" t="s">
        <v>33</v>
      </c>
      <c r="D279" s="57">
        <v>4.0</v>
      </c>
      <c r="E279" s="14"/>
      <c r="F279" s="14"/>
      <c r="G279" s="14"/>
      <c r="H279" s="1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6">
        <v>276.0</v>
      </c>
      <c r="B280" s="56" t="s">
        <v>302</v>
      </c>
      <c r="C280" s="56" t="s">
        <v>33</v>
      </c>
      <c r="D280" s="57">
        <v>4.0</v>
      </c>
      <c r="E280" s="14"/>
      <c r="F280" s="14"/>
      <c r="G280" s="14"/>
      <c r="H280" s="1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6">
        <v>277.0</v>
      </c>
      <c r="B281" s="56" t="s">
        <v>303</v>
      </c>
      <c r="C281" s="56" t="s">
        <v>33</v>
      </c>
      <c r="D281" s="57">
        <v>4.0</v>
      </c>
      <c r="E281" s="14"/>
      <c r="F281" s="14"/>
      <c r="G281" s="14"/>
      <c r="H281" s="1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6">
        <v>278.0</v>
      </c>
      <c r="B282" s="56" t="s">
        <v>304</v>
      </c>
      <c r="C282" s="56" t="s">
        <v>33</v>
      </c>
      <c r="D282" s="57">
        <v>4.0</v>
      </c>
      <c r="E282" s="14"/>
      <c r="F282" s="14"/>
      <c r="G282" s="14"/>
      <c r="H282" s="1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6">
        <v>279.0</v>
      </c>
      <c r="B283" s="56" t="s">
        <v>305</v>
      </c>
      <c r="C283" s="56" t="s">
        <v>33</v>
      </c>
      <c r="D283" s="57">
        <v>4.0</v>
      </c>
      <c r="E283" s="14"/>
      <c r="F283" s="14"/>
      <c r="G283" s="14"/>
      <c r="H283" s="1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mergeCells count="1">
    <mergeCell ref="A1:H2"/>
  </mergeCells>
  <dataValidations>
    <dataValidation type="list" allowBlank="1" showErrorMessage="1" sqref="G5:G283">
      <formula1>"GCASH,CASH"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7.75"/>
    <col customWidth="1" min="3" max="3" width="21.0"/>
    <col customWidth="1" min="4" max="4" width="8.63"/>
    <col customWidth="1" min="7" max="7" width="19.63"/>
  </cols>
  <sheetData>
    <row r="1">
      <c r="A1" s="47" t="s">
        <v>313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6"/>
      <c r="B3" s="17" t="s">
        <v>14</v>
      </c>
      <c r="C3" s="51">
        <f>SUM(E5:E283)</f>
        <v>0</v>
      </c>
      <c r="D3" s="16"/>
      <c r="E3" s="19" t="s">
        <v>15</v>
      </c>
      <c r="F3" s="19"/>
      <c r="G3" s="52" t="s">
        <v>314</v>
      </c>
      <c r="H3" s="1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3" t="s">
        <v>16</v>
      </c>
      <c r="B4" s="53" t="s">
        <v>17</v>
      </c>
      <c r="C4" s="53" t="s">
        <v>18</v>
      </c>
      <c r="D4" s="53" t="s">
        <v>19</v>
      </c>
      <c r="E4" s="53" t="s">
        <v>11</v>
      </c>
      <c r="F4" s="54" t="s">
        <v>20</v>
      </c>
      <c r="G4" s="54" t="s">
        <v>21</v>
      </c>
      <c r="H4" s="54" t="s">
        <v>22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>
        <v>1.0</v>
      </c>
      <c r="B5" s="5" t="s">
        <v>23</v>
      </c>
      <c r="C5" s="5" t="s">
        <v>24</v>
      </c>
      <c r="D5" s="55">
        <v>1.0</v>
      </c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>
        <v>2.0</v>
      </c>
      <c r="B6" s="5" t="s">
        <v>25</v>
      </c>
      <c r="C6" s="5" t="s">
        <v>24</v>
      </c>
      <c r="D6" s="55">
        <v>1.0</v>
      </c>
      <c r="E6" s="14"/>
      <c r="F6" s="14"/>
      <c r="G6" s="14"/>
      <c r="H6" s="1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>
        <v>3.0</v>
      </c>
      <c r="B7" s="5" t="s">
        <v>26</v>
      </c>
      <c r="C7" s="5" t="s">
        <v>24</v>
      </c>
      <c r="D7" s="55">
        <v>1.0</v>
      </c>
      <c r="E7" s="14"/>
      <c r="F7" s="14"/>
      <c r="G7" s="14"/>
      <c r="H7" s="1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>
        <v>4.0</v>
      </c>
      <c r="B8" s="5" t="s">
        <v>27</v>
      </c>
      <c r="C8" s="5" t="s">
        <v>24</v>
      </c>
      <c r="D8" s="55">
        <v>1.0</v>
      </c>
      <c r="E8" s="14"/>
      <c r="F8" s="14"/>
      <c r="G8" s="14"/>
      <c r="H8" s="1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>
        <v>5.0</v>
      </c>
      <c r="B9" s="5" t="s">
        <v>28</v>
      </c>
      <c r="C9" s="5" t="s">
        <v>24</v>
      </c>
      <c r="D9" s="55">
        <v>1.0</v>
      </c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>
        <v>6.0</v>
      </c>
      <c r="B10" s="5" t="s">
        <v>29</v>
      </c>
      <c r="C10" s="5" t="s">
        <v>24</v>
      </c>
      <c r="D10" s="55">
        <v>1.0</v>
      </c>
      <c r="E10" s="14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>
        <v>7.0</v>
      </c>
      <c r="B11" s="5" t="s">
        <v>30</v>
      </c>
      <c r="C11" s="5" t="s">
        <v>31</v>
      </c>
      <c r="D11" s="55">
        <v>1.0</v>
      </c>
      <c r="E11" s="14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">
        <v>8.0</v>
      </c>
      <c r="B12" s="5" t="s">
        <v>32</v>
      </c>
      <c r="C12" s="5" t="s">
        <v>33</v>
      </c>
      <c r="D12" s="55">
        <v>1.0</v>
      </c>
      <c r="E12" s="14"/>
      <c r="F12" s="14"/>
      <c r="G12" s="14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">
        <v>9.0</v>
      </c>
      <c r="B13" s="5" t="s">
        <v>34</v>
      </c>
      <c r="C13" s="5" t="s">
        <v>33</v>
      </c>
      <c r="D13" s="55">
        <v>1.0</v>
      </c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5">
        <v>10.0</v>
      </c>
      <c r="B14" s="5" t="s">
        <v>35</v>
      </c>
      <c r="C14" s="5" t="s">
        <v>33</v>
      </c>
      <c r="D14" s="55">
        <v>1.0</v>
      </c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5">
        <v>11.0</v>
      </c>
      <c r="B15" s="5" t="s">
        <v>36</v>
      </c>
      <c r="C15" s="5" t="s">
        <v>33</v>
      </c>
      <c r="D15" s="55">
        <v>1.0</v>
      </c>
      <c r="E15" s="14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5">
        <v>12.0</v>
      </c>
      <c r="B16" s="5" t="s">
        <v>37</v>
      </c>
      <c r="C16" s="5" t="s">
        <v>33</v>
      </c>
      <c r="D16" s="55">
        <v>1.0</v>
      </c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>
        <v>13.0</v>
      </c>
      <c r="B17" s="5" t="s">
        <v>38</v>
      </c>
      <c r="C17" s="5" t="s">
        <v>33</v>
      </c>
      <c r="D17" s="55">
        <v>1.0</v>
      </c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>
        <v>14.0</v>
      </c>
      <c r="B18" s="5" t="s">
        <v>39</v>
      </c>
      <c r="C18" s="5" t="s">
        <v>33</v>
      </c>
      <c r="D18" s="55">
        <v>1.0</v>
      </c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>
        <v>15.0</v>
      </c>
      <c r="B19" s="5" t="s">
        <v>40</v>
      </c>
      <c r="C19" s="5" t="s">
        <v>33</v>
      </c>
      <c r="D19" s="55">
        <v>1.0</v>
      </c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>
        <v>16.0</v>
      </c>
      <c r="B20" s="5" t="s">
        <v>41</v>
      </c>
      <c r="C20" s="5" t="s">
        <v>33</v>
      </c>
      <c r="D20" s="55">
        <v>1.0</v>
      </c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>
        <v>17.0</v>
      </c>
      <c r="B21" s="5" t="s">
        <v>42</v>
      </c>
      <c r="C21" s="5" t="s">
        <v>33</v>
      </c>
      <c r="D21" s="55">
        <v>1.0</v>
      </c>
      <c r="E21" s="14"/>
      <c r="F21" s="14"/>
      <c r="G21" s="14"/>
      <c r="H21" s="1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>
        <v>18.0</v>
      </c>
      <c r="B22" s="5" t="s">
        <v>44</v>
      </c>
      <c r="C22" s="5" t="s">
        <v>33</v>
      </c>
      <c r="D22" s="55">
        <v>1.0</v>
      </c>
      <c r="E22" s="14"/>
      <c r="F22" s="14"/>
      <c r="G22" s="14"/>
      <c r="H22" s="1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>
        <v>19.0</v>
      </c>
      <c r="B23" s="5" t="s">
        <v>45</v>
      </c>
      <c r="C23" s="5" t="s">
        <v>33</v>
      </c>
      <c r="D23" s="55">
        <v>1.0</v>
      </c>
      <c r="E23" s="14"/>
      <c r="F23" s="14"/>
      <c r="G23" s="14"/>
      <c r="H23" s="1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>
        <v>20.0</v>
      </c>
      <c r="B24" s="5" t="s">
        <v>46</v>
      </c>
      <c r="C24" s="5" t="s">
        <v>33</v>
      </c>
      <c r="D24" s="55">
        <v>1.0</v>
      </c>
      <c r="E24" s="14"/>
      <c r="F24" s="14"/>
      <c r="G24" s="14"/>
      <c r="H24" s="1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>
        <v>21.0</v>
      </c>
      <c r="B25" s="5" t="s">
        <v>47</v>
      </c>
      <c r="C25" s="5" t="s">
        <v>33</v>
      </c>
      <c r="D25" s="55">
        <v>1.0</v>
      </c>
      <c r="E25" s="14"/>
      <c r="F25" s="14"/>
      <c r="G25" s="14"/>
      <c r="H25" s="1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5">
        <v>22.0</v>
      </c>
      <c r="B26" s="5" t="s">
        <v>48</v>
      </c>
      <c r="C26" s="5" t="s">
        <v>33</v>
      </c>
      <c r="D26" s="55">
        <v>1.0</v>
      </c>
      <c r="E26" s="14"/>
      <c r="F26" s="14"/>
      <c r="G26" s="14"/>
      <c r="H26" s="1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5">
        <v>23.0</v>
      </c>
      <c r="B27" s="5" t="s">
        <v>49</v>
      </c>
      <c r="C27" s="5" t="s">
        <v>33</v>
      </c>
      <c r="D27" s="55">
        <v>1.0</v>
      </c>
      <c r="E27" s="14"/>
      <c r="F27" s="14"/>
      <c r="G27" s="14"/>
      <c r="H27" s="1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>
        <v>24.0</v>
      </c>
      <c r="B28" s="5" t="s">
        <v>50</v>
      </c>
      <c r="C28" s="5" t="s">
        <v>33</v>
      </c>
      <c r="D28" s="55">
        <v>1.0</v>
      </c>
      <c r="E28" s="14"/>
      <c r="F28" s="14"/>
      <c r="G28" s="14"/>
      <c r="H28" s="1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>
        <v>25.0</v>
      </c>
      <c r="B29" s="5" t="s">
        <v>51</v>
      </c>
      <c r="C29" s="5" t="s">
        <v>33</v>
      </c>
      <c r="D29" s="55">
        <v>1.0</v>
      </c>
      <c r="E29" s="14"/>
      <c r="F29" s="14"/>
      <c r="G29" s="14"/>
      <c r="H29" s="1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>
        <v>26.0</v>
      </c>
      <c r="B30" s="5" t="s">
        <v>52</v>
      </c>
      <c r="C30" s="5" t="s">
        <v>33</v>
      </c>
      <c r="D30" s="55">
        <v>1.0</v>
      </c>
      <c r="E30" s="14"/>
      <c r="F30" s="14"/>
      <c r="G30" s="14"/>
      <c r="H30" s="1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5">
        <v>27.0</v>
      </c>
      <c r="B31" s="5" t="s">
        <v>53</v>
      </c>
      <c r="C31" s="5" t="s">
        <v>33</v>
      </c>
      <c r="D31" s="55">
        <v>1.0</v>
      </c>
      <c r="E31" s="14"/>
      <c r="F31" s="14"/>
      <c r="G31" s="14"/>
      <c r="H31" s="1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>
        <v>28.0</v>
      </c>
      <c r="B32" s="5" t="s">
        <v>54</v>
      </c>
      <c r="C32" s="5" t="s">
        <v>33</v>
      </c>
      <c r="D32" s="55">
        <v>1.0</v>
      </c>
      <c r="E32" s="14"/>
      <c r="F32" s="14"/>
      <c r="G32" s="14"/>
      <c r="H32" s="1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>
        <v>29.0</v>
      </c>
      <c r="B33" s="5" t="s">
        <v>55</v>
      </c>
      <c r="C33" s="5" t="s">
        <v>33</v>
      </c>
      <c r="D33" s="55">
        <v>1.0</v>
      </c>
      <c r="E33" s="14"/>
      <c r="F33" s="14"/>
      <c r="G33" s="14"/>
      <c r="H33" s="1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>
        <v>30.0</v>
      </c>
      <c r="B34" s="5" t="s">
        <v>56</v>
      </c>
      <c r="C34" s="5" t="s">
        <v>33</v>
      </c>
      <c r="D34" s="55">
        <v>1.0</v>
      </c>
      <c r="E34" s="14"/>
      <c r="F34" s="14"/>
      <c r="G34" s="14"/>
      <c r="H34" s="1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>
        <v>31.0</v>
      </c>
      <c r="B35" s="5" t="s">
        <v>57</v>
      </c>
      <c r="C35" s="5" t="s">
        <v>33</v>
      </c>
      <c r="D35" s="55">
        <v>1.0</v>
      </c>
      <c r="E35" s="14"/>
      <c r="F35" s="14"/>
      <c r="G35" s="14"/>
      <c r="H35" s="1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>
        <v>32.0</v>
      </c>
      <c r="B36" s="5" t="s">
        <v>58</v>
      </c>
      <c r="C36" s="5" t="s">
        <v>33</v>
      </c>
      <c r="D36" s="55">
        <v>1.0</v>
      </c>
      <c r="E36" s="14"/>
      <c r="F36" s="14"/>
      <c r="G36" s="14"/>
      <c r="H36" s="1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>
        <v>33.0</v>
      </c>
      <c r="B37" s="5" t="s">
        <v>59</v>
      </c>
      <c r="C37" s="5" t="s">
        <v>33</v>
      </c>
      <c r="D37" s="55">
        <v>1.0</v>
      </c>
      <c r="E37" s="14"/>
      <c r="F37" s="14"/>
      <c r="G37" s="14"/>
      <c r="H37" s="1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>
        <v>34.0</v>
      </c>
      <c r="B38" s="5" t="s">
        <v>60</v>
      </c>
      <c r="C38" s="5" t="s">
        <v>33</v>
      </c>
      <c r="D38" s="55">
        <v>1.0</v>
      </c>
      <c r="E38" s="14"/>
      <c r="F38" s="14"/>
      <c r="G38" s="14"/>
      <c r="H38" s="1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>
        <v>35.0</v>
      </c>
      <c r="B39" s="5" t="s">
        <v>61</v>
      </c>
      <c r="C39" s="5" t="s">
        <v>33</v>
      </c>
      <c r="D39" s="55">
        <v>1.0</v>
      </c>
      <c r="E39" s="14"/>
      <c r="F39" s="14"/>
      <c r="G39" s="14"/>
      <c r="H39" s="1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5">
        <v>36.0</v>
      </c>
      <c r="B40" s="5" t="s">
        <v>62</v>
      </c>
      <c r="C40" s="5" t="s">
        <v>33</v>
      </c>
      <c r="D40" s="55">
        <v>1.0</v>
      </c>
      <c r="E40" s="14"/>
      <c r="F40" s="14"/>
      <c r="G40" s="14"/>
      <c r="H40" s="1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5">
        <v>37.0</v>
      </c>
      <c r="B41" s="5" t="s">
        <v>63</v>
      </c>
      <c r="C41" s="5" t="s">
        <v>33</v>
      </c>
      <c r="D41" s="55">
        <v>1.0</v>
      </c>
      <c r="E41" s="14"/>
      <c r="F41" s="14"/>
      <c r="G41" s="14"/>
      <c r="H41" s="1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5">
        <v>38.0</v>
      </c>
      <c r="B42" s="5" t="s">
        <v>64</v>
      </c>
      <c r="C42" s="5" t="s">
        <v>33</v>
      </c>
      <c r="D42" s="55">
        <v>1.0</v>
      </c>
      <c r="E42" s="14"/>
      <c r="F42" s="14"/>
      <c r="G42" s="14"/>
      <c r="H42" s="1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>
        <v>39.0</v>
      </c>
      <c r="B43" s="5" t="s">
        <v>65</v>
      </c>
      <c r="C43" s="5" t="s">
        <v>33</v>
      </c>
      <c r="D43" s="55">
        <v>1.0</v>
      </c>
      <c r="E43" s="14"/>
      <c r="F43" s="14"/>
      <c r="G43" s="14"/>
      <c r="H43" s="1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>
        <v>40.0</v>
      </c>
      <c r="B44" s="5" t="s">
        <v>66</v>
      </c>
      <c r="C44" s="5" t="s">
        <v>33</v>
      </c>
      <c r="D44" s="55">
        <v>1.0</v>
      </c>
      <c r="E44" s="14"/>
      <c r="F44" s="14"/>
      <c r="G44" s="14"/>
      <c r="H44" s="1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6">
        <v>41.0</v>
      </c>
      <c r="B45" s="56" t="s">
        <v>67</v>
      </c>
      <c r="C45" s="56" t="s">
        <v>33</v>
      </c>
      <c r="D45" s="57">
        <v>1.0</v>
      </c>
      <c r="E45" s="14"/>
      <c r="F45" s="14"/>
      <c r="G45" s="14"/>
      <c r="H45" s="1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6">
        <v>42.0</v>
      </c>
      <c r="B46" s="56" t="s">
        <v>68</v>
      </c>
      <c r="C46" s="56" t="s">
        <v>33</v>
      </c>
      <c r="D46" s="57">
        <v>1.0</v>
      </c>
      <c r="E46" s="14"/>
      <c r="F46" s="14"/>
      <c r="G46" s="14"/>
      <c r="H46" s="1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6">
        <v>43.0</v>
      </c>
      <c r="B47" s="56" t="s">
        <v>69</v>
      </c>
      <c r="C47" s="56" t="s">
        <v>33</v>
      </c>
      <c r="D47" s="57">
        <v>1.0</v>
      </c>
      <c r="E47" s="14"/>
      <c r="F47" s="14"/>
      <c r="G47" s="14"/>
      <c r="H47" s="1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6">
        <v>44.0</v>
      </c>
      <c r="B48" s="56" t="s">
        <v>70</v>
      </c>
      <c r="C48" s="56" t="s">
        <v>33</v>
      </c>
      <c r="D48" s="57">
        <v>1.0</v>
      </c>
      <c r="E48" s="14"/>
      <c r="F48" s="14"/>
      <c r="G48" s="14"/>
      <c r="H48" s="1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6">
        <v>45.0</v>
      </c>
      <c r="B49" s="56" t="s">
        <v>71</v>
      </c>
      <c r="C49" s="56" t="s">
        <v>33</v>
      </c>
      <c r="D49" s="57">
        <v>1.0</v>
      </c>
      <c r="E49" s="14"/>
      <c r="F49" s="14"/>
      <c r="G49" s="14"/>
      <c r="H49" s="1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6">
        <v>46.0</v>
      </c>
      <c r="B50" s="56" t="s">
        <v>72</v>
      </c>
      <c r="C50" s="56" t="s">
        <v>33</v>
      </c>
      <c r="D50" s="57">
        <v>1.0</v>
      </c>
      <c r="E50" s="14"/>
      <c r="F50" s="14"/>
      <c r="G50" s="14"/>
      <c r="H50" s="1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6">
        <v>47.0</v>
      </c>
      <c r="B51" s="56" t="s">
        <v>73</v>
      </c>
      <c r="C51" s="56" t="s">
        <v>33</v>
      </c>
      <c r="D51" s="57">
        <v>1.0</v>
      </c>
      <c r="E51" s="14"/>
      <c r="F51" s="14"/>
      <c r="G51" s="14"/>
      <c r="H51" s="1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6">
        <v>48.0</v>
      </c>
      <c r="B52" s="56" t="s">
        <v>74</v>
      </c>
      <c r="C52" s="56" t="s">
        <v>33</v>
      </c>
      <c r="D52" s="57">
        <v>1.0</v>
      </c>
      <c r="E52" s="14"/>
      <c r="F52" s="14"/>
      <c r="G52" s="14"/>
      <c r="H52" s="1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56">
        <v>49.0</v>
      </c>
      <c r="B53" s="56" t="s">
        <v>75</v>
      </c>
      <c r="C53" s="56" t="s">
        <v>33</v>
      </c>
      <c r="D53" s="57">
        <v>1.0</v>
      </c>
      <c r="E53" s="14"/>
      <c r="F53" s="14"/>
      <c r="G53" s="14"/>
      <c r="H53" s="1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6">
        <v>50.0</v>
      </c>
      <c r="B54" s="56" t="s">
        <v>76</v>
      </c>
      <c r="C54" s="56" t="s">
        <v>33</v>
      </c>
      <c r="D54" s="57">
        <v>1.0</v>
      </c>
      <c r="E54" s="14"/>
      <c r="F54" s="14"/>
      <c r="G54" s="14"/>
      <c r="H54" s="1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6">
        <v>51.0</v>
      </c>
      <c r="B55" s="56" t="s">
        <v>77</v>
      </c>
      <c r="C55" s="56" t="s">
        <v>33</v>
      </c>
      <c r="D55" s="57">
        <v>1.0</v>
      </c>
      <c r="E55" s="14"/>
      <c r="F55" s="14"/>
      <c r="G55" s="14"/>
      <c r="H55" s="1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56">
        <v>52.0</v>
      </c>
      <c r="B56" s="56" t="s">
        <v>78</v>
      </c>
      <c r="C56" s="56" t="s">
        <v>33</v>
      </c>
      <c r="D56" s="57">
        <v>1.0</v>
      </c>
      <c r="E56" s="14"/>
      <c r="F56" s="14"/>
      <c r="G56" s="14"/>
      <c r="H56" s="1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6">
        <v>53.0</v>
      </c>
      <c r="B57" s="56" t="s">
        <v>79</v>
      </c>
      <c r="C57" s="56" t="s">
        <v>33</v>
      </c>
      <c r="D57" s="57">
        <v>1.0</v>
      </c>
      <c r="E57" s="14"/>
      <c r="F57" s="14"/>
      <c r="G57" s="14"/>
      <c r="H57" s="1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56">
        <v>54.0</v>
      </c>
      <c r="B58" s="56" t="s">
        <v>80</v>
      </c>
      <c r="C58" s="56" t="s">
        <v>33</v>
      </c>
      <c r="D58" s="57">
        <v>1.0</v>
      </c>
      <c r="E58" s="14"/>
      <c r="F58" s="14"/>
      <c r="G58" s="14"/>
      <c r="H58" s="1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56">
        <v>55.0</v>
      </c>
      <c r="B59" s="56" t="s">
        <v>81</v>
      </c>
      <c r="C59" s="56" t="s">
        <v>33</v>
      </c>
      <c r="D59" s="57">
        <v>1.0</v>
      </c>
      <c r="E59" s="14"/>
      <c r="F59" s="14"/>
      <c r="G59" s="14"/>
      <c r="H59" s="1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56">
        <v>56.0</v>
      </c>
      <c r="B60" s="56" t="s">
        <v>82</v>
      </c>
      <c r="C60" s="56" t="s">
        <v>33</v>
      </c>
      <c r="D60" s="57">
        <v>1.0</v>
      </c>
      <c r="E60" s="14"/>
      <c r="F60" s="14"/>
      <c r="G60" s="14"/>
      <c r="H60" s="1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56">
        <v>57.0</v>
      </c>
      <c r="B61" s="56" t="s">
        <v>83</v>
      </c>
      <c r="C61" s="56" t="s">
        <v>33</v>
      </c>
      <c r="D61" s="57">
        <v>1.0</v>
      </c>
      <c r="E61" s="14"/>
      <c r="F61" s="14"/>
      <c r="G61" s="14"/>
      <c r="H61" s="1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56">
        <v>58.0</v>
      </c>
      <c r="B62" s="56" t="s">
        <v>84</v>
      </c>
      <c r="C62" s="56" t="s">
        <v>33</v>
      </c>
      <c r="D62" s="57">
        <v>1.0</v>
      </c>
      <c r="E62" s="14"/>
      <c r="F62" s="14"/>
      <c r="G62" s="14"/>
      <c r="H62" s="1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56">
        <v>59.0</v>
      </c>
      <c r="B63" s="56" t="s">
        <v>85</v>
      </c>
      <c r="C63" s="56" t="s">
        <v>33</v>
      </c>
      <c r="D63" s="57">
        <v>1.0</v>
      </c>
      <c r="E63" s="14"/>
      <c r="F63" s="14"/>
      <c r="G63" s="14"/>
      <c r="H63" s="1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56">
        <v>60.0</v>
      </c>
      <c r="B64" s="56" t="s">
        <v>86</v>
      </c>
      <c r="C64" s="56" t="s">
        <v>33</v>
      </c>
      <c r="D64" s="57">
        <v>1.0</v>
      </c>
      <c r="E64" s="14"/>
      <c r="F64" s="14"/>
      <c r="G64" s="14"/>
      <c r="H64" s="1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56">
        <v>61.0</v>
      </c>
      <c r="B65" s="56" t="s">
        <v>87</v>
      </c>
      <c r="C65" s="56" t="s">
        <v>33</v>
      </c>
      <c r="D65" s="57">
        <v>1.0</v>
      </c>
      <c r="E65" s="5"/>
      <c r="F65" s="58"/>
      <c r="G65" s="14"/>
      <c r="H65" s="1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56">
        <v>62.0</v>
      </c>
      <c r="B66" s="56" t="s">
        <v>88</v>
      </c>
      <c r="C66" s="56" t="s">
        <v>33</v>
      </c>
      <c r="D66" s="57">
        <v>1.0</v>
      </c>
      <c r="E66" s="14"/>
      <c r="F66" s="14"/>
      <c r="G66" s="14"/>
      <c r="H66" s="1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56">
        <v>63.0</v>
      </c>
      <c r="B67" s="56" t="s">
        <v>89</v>
      </c>
      <c r="C67" s="56" t="s">
        <v>33</v>
      </c>
      <c r="D67" s="57">
        <v>1.0</v>
      </c>
      <c r="E67" s="14"/>
      <c r="F67" s="14"/>
      <c r="G67" s="14"/>
      <c r="H67" s="1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56">
        <v>64.0</v>
      </c>
      <c r="B68" s="56" t="s">
        <v>90</v>
      </c>
      <c r="C68" s="56" t="s">
        <v>33</v>
      </c>
      <c r="D68" s="57">
        <v>1.0</v>
      </c>
      <c r="E68" s="14"/>
      <c r="F68" s="14"/>
      <c r="G68" s="14"/>
      <c r="H68" s="1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56">
        <v>65.0</v>
      </c>
      <c r="B69" s="56" t="s">
        <v>91</v>
      </c>
      <c r="C69" s="56" t="s">
        <v>33</v>
      </c>
      <c r="D69" s="57">
        <v>1.0</v>
      </c>
      <c r="E69" s="14"/>
      <c r="F69" s="14"/>
      <c r="G69" s="14"/>
      <c r="H69" s="1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56">
        <v>66.0</v>
      </c>
      <c r="B70" s="56" t="s">
        <v>92</v>
      </c>
      <c r="C70" s="56" t="s">
        <v>33</v>
      </c>
      <c r="D70" s="57">
        <v>1.0</v>
      </c>
      <c r="E70" s="14"/>
      <c r="F70" s="14"/>
      <c r="G70" s="14"/>
      <c r="H70" s="1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6">
        <v>67.0</v>
      </c>
      <c r="B71" s="56" t="s">
        <v>93</v>
      </c>
      <c r="C71" s="56" t="s">
        <v>33</v>
      </c>
      <c r="D71" s="57">
        <v>1.0</v>
      </c>
      <c r="E71" s="14"/>
      <c r="F71" s="14"/>
      <c r="G71" s="14"/>
      <c r="H71" s="1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56">
        <v>68.0</v>
      </c>
      <c r="B72" s="56" t="s">
        <v>94</v>
      </c>
      <c r="C72" s="56" t="s">
        <v>33</v>
      </c>
      <c r="D72" s="57">
        <v>1.0</v>
      </c>
      <c r="E72" s="14"/>
      <c r="F72" s="14"/>
      <c r="G72" s="14"/>
      <c r="H72" s="1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56">
        <v>69.0</v>
      </c>
      <c r="B73" s="56" t="s">
        <v>95</v>
      </c>
      <c r="C73" s="56" t="s">
        <v>33</v>
      </c>
      <c r="D73" s="57">
        <v>1.0</v>
      </c>
      <c r="E73" s="14"/>
      <c r="F73" s="14"/>
      <c r="G73" s="14"/>
      <c r="H73" s="1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56">
        <v>70.0</v>
      </c>
      <c r="B74" s="56" t="s">
        <v>96</v>
      </c>
      <c r="C74" s="56" t="s">
        <v>33</v>
      </c>
      <c r="D74" s="57">
        <v>1.0</v>
      </c>
      <c r="E74" s="14"/>
      <c r="F74" s="14"/>
      <c r="G74" s="14"/>
      <c r="H74" s="1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56">
        <v>71.0</v>
      </c>
      <c r="B75" s="56" t="s">
        <v>97</v>
      </c>
      <c r="C75" s="56" t="s">
        <v>33</v>
      </c>
      <c r="D75" s="57">
        <v>1.0</v>
      </c>
      <c r="E75" s="14"/>
      <c r="F75" s="14"/>
      <c r="G75" s="14"/>
      <c r="H75" s="1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6">
        <v>72.0</v>
      </c>
      <c r="B76" s="56" t="s">
        <v>98</v>
      </c>
      <c r="C76" s="56" t="s">
        <v>33</v>
      </c>
      <c r="D76" s="57">
        <v>1.0</v>
      </c>
      <c r="E76" s="14"/>
      <c r="F76" s="14"/>
      <c r="G76" s="14"/>
      <c r="H76" s="1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56">
        <v>73.0</v>
      </c>
      <c r="B77" s="56" t="s">
        <v>99</v>
      </c>
      <c r="C77" s="56" t="s">
        <v>33</v>
      </c>
      <c r="D77" s="57">
        <v>1.0</v>
      </c>
      <c r="E77" s="14"/>
      <c r="F77" s="14"/>
      <c r="G77" s="14"/>
      <c r="H77" s="1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56">
        <v>74.0</v>
      </c>
      <c r="B78" s="56" t="s">
        <v>100</v>
      </c>
      <c r="C78" s="56" t="s">
        <v>33</v>
      </c>
      <c r="D78" s="57">
        <v>1.0</v>
      </c>
      <c r="E78" s="14"/>
      <c r="F78" s="14"/>
      <c r="G78" s="14"/>
      <c r="H78" s="1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56">
        <v>75.0</v>
      </c>
      <c r="B79" s="56" t="s">
        <v>101</v>
      </c>
      <c r="C79" s="56" t="s">
        <v>33</v>
      </c>
      <c r="D79" s="57">
        <v>1.0</v>
      </c>
      <c r="E79" s="14"/>
      <c r="F79" s="14"/>
      <c r="G79" s="14"/>
      <c r="H79" s="1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56">
        <v>76.0</v>
      </c>
      <c r="B80" s="56" t="s">
        <v>102</v>
      </c>
      <c r="C80" s="56" t="s">
        <v>33</v>
      </c>
      <c r="D80" s="57">
        <v>1.0</v>
      </c>
      <c r="E80" s="14"/>
      <c r="F80" s="14"/>
      <c r="G80" s="14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56">
        <v>77.0</v>
      </c>
      <c r="B81" s="56" t="s">
        <v>103</v>
      </c>
      <c r="C81" s="56" t="s">
        <v>33</v>
      </c>
      <c r="D81" s="57">
        <v>1.0</v>
      </c>
      <c r="E81" s="14"/>
      <c r="F81" s="14"/>
      <c r="G81" s="14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56">
        <v>78.0</v>
      </c>
      <c r="B82" s="56" t="s">
        <v>104</v>
      </c>
      <c r="C82" s="56" t="s">
        <v>33</v>
      </c>
      <c r="D82" s="57">
        <v>1.0</v>
      </c>
      <c r="E82" s="14"/>
      <c r="F82" s="14"/>
      <c r="G82" s="14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56">
        <v>79.0</v>
      </c>
      <c r="B83" s="56" t="s">
        <v>105</v>
      </c>
      <c r="C83" s="56" t="s">
        <v>33</v>
      </c>
      <c r="D83" s="57">
        <v>1.0</v>
      </c>
      <c r="E83" s="14"/>
      <c r="F83" s="14"/>
      <c r="G83" s="14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56">
        <v>80.0</v>
      </c>
      <c r="B84" s="56" t="s">
        <v>106</v>
      </c>
      <c r="C84" s="56" t="s">
        <v>33</v>
      </c>
      <c r="D84" s="57">
        <v>1.0</v>
      </c>
      <c r="E84" s="14"/>
      <c r="F84" s="14"/>
      <c r="G84" s="14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56">
        <v>81.0</v>
      </c>
      <c r="B85" s="56" t="s">
        <v>107</v>
      </c>
      <c r="C85" s="56" t="s">
        <v>33</v>
      </c>
      <c r="D85" s="57">
        <v>1.0</v>
      </c>
      <c r="E85" s="14"/>
      <c r="F85" s="14"/>
      <c r="G85" s="14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56">
        <v>82.0</v>
      </c>
      <c r="B86" s="56" t="s">
        <v>108</v>
      </c>
      <c r="C86" s="56" t="s">
        <v>33</v>
      </c>
      <c r="D86" s="57">
        <v>1.0</v>
      </c>
      <c r="E86" s="14"/>
      <c r="F86" s="14"/>
      <c r="G86" s="14"/>
      <c r="H86" s="1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6">
        <v>83.0</v>
      </c>
      <c r="B87" s="56" t="s">
        <v>109</v>
      </c>
      <c r="C87" s="56" t="s">
        <v>33</v>
      </c>
      <c r="D87" s="57">
        <v>1.0</v>
      </c>
      <c r="E87" s="14"/>
      <c r="F87" s="14"/>
      <c r="G87" s="14"/>
      <c r="H87" s="1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56">
        <v>84.0</v>
      </c>
      <c r="B88" s="56" t="s">
        <v>110</v>
      </c>
      <c r="C88" s="56" t="s">
        <v>33</v>
      </c>
      <c r="D88" s="57">
        <v>1.0</v>
      </c>
      <c r="E88" s="14"/>
      <c r="F88" s="14"/>
      <c r="G88" s="14"/>
      <c r="H88" s="1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56">
        <v>85.0</v>
      </c>
      <c r="B89" s="56" t="s">
        <v>111</v>
      </c>
      <c r="C89" s="56" t="s">
        <v>33</v>
      </c>
      <c r="D89" s="57">
        <v>1.0</v>
      </c>
      <c r="E89" s="14"/>
      <c r="F89" s="14"/>
      <c r="G89" s="14"/>
      <c r="H89" s="1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6">
        <v>86.0</v>
      </c>
      <c r="B90" s="56" t="s">
        <v>112</v>
      </c>
      <c r="C90" s="56" t="s">
        <v>33</v>
      </c>
      <c r="D90" s="57">
        <v>1.0</v>
      </c>
      <c r="E90" s="14"/>
      <c r="F90" s="14"/>
      <c r="G90" s="14"/>
      <c r="H90" s="1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56">
        <v>87.0</v>
      </c>
      <c r="B91" s="56" t="s">
        <v>113</v>
      </c>
      <c r="C91" s="56" t="s">
        <v>33</v>
      </c>
      <c r="D91" s="57">
        <v>1.0</v>
      </c>
      <c r="E91" s="14"/>
      <c r="F91" s="14"/>
      <c r="G91" s="14"/>
      <c r="H91" s="1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6">
        <v>88.0</v>
      </c>
      <c r="B92" s="56" t="s">
        <v>114</v>
      </c>
      <c r="C92" s="56" t="s">
        <v>33</v>
      </c>
      <c r="D92" s="57">
        <v>1.0</v>
      </c>
      <c r="E92" s="14"/>
      <c r="F92" s="14"/>
      <c r="G92" s="14"/>
      <c r="H92" s="1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56">
        <v>89.0</v>
      </c>
      <c r="B93" s="56" t="s">
        <v>115</v>
      </c>
      <c r="C93" s="56" t="s">
        <v>33</v>
      </c>
      <c r="D93" s="57">
        <v>1.0</v>
      </c>
      <c r="E93" s="14"/>
      <c r="F93" s="14"/>
      <c r="G93" s="14"/>
      <c r="H93" s="1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56">
        <v>90.0</v>
      </c>
      <c r="B94" s="56" t="s">
        <v>116</v>
      </c>
      <c r="C94" s="56" t="s">
        <v>33</v>
      </c>
      <c r="D94" s="57">
        <v>1.0</v>
      </c>
      <c r="E94" s="14"/>
      <c r="F94" s="14"/>
      <c r="G94" s="14"/>
      <c r="H94" s="1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56">
        <v>91.0</v>
      </c>
      <c r="B95" s="56" t="s">
        <v>117</v>
      </c>
      <c r="C95" s="56" t="s">
        <v>33</v>
      </c>
      <c r="D95" s="57">
        <v>1.0</v>
      </c>
      <c r="E95" s="14"/>
      <c r="F95" s="14"/>
      <c r="G95" s="14"/>
      <c r="H95" s="1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56">
        <v>92.0</v>
      </c>
      <c r="B96" s="56" t="s">
        <v>118</v>
      </c>
      <c r="C96" s="56" t="s">
        <v>33</v>
      </c>
      <c r="D96" s="57">
        <v>1.0</v>
      </c>
      <c r="E96" s="14"/>
      <c r="F96" s="14"/>
      <c r="G96" s="14"/>
      <c r="H96" s="1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56">
        <v>93.0</v>
      </c>
      <c r="B97" s="56" t="s">
        <v>119</v>
      </c>
      <c r="C97" s="56" t="s">
        <v>33</v>
      </c>
      <c r="D97" s="57">
        <v>1.0</v>
      </c>
      <c r="E97" s="14"/>
      <c r="F97" s="14"/>
      <c r="G97" s="14"/>
      <c r="H97" s="1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56">
        <v>94.0</v>
      </c>
      <c r="B98" s="56" t="s">
        <v>120</v>
      </c>
      <c r="C98" s="56" t="s">
        <v>33</v>
      </c>
      <c r="D98" s="57">
        <v>1.0</v>
      </c>
      <c r="E98" s="14"/>
      <c r="F98" s="14"/>
      <c r="G98" s="14"/>
      <c r="H98" s="1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56">
        <v>95.0</v>
      </c>
      <c r="B99" s="56" t="s">
        <v>121</v>
      </c>
      <c r="C99" s="56" t="s">
        <v>33</v>
      </c>
      <c r="D99" s="57">
        <v>1.0</v>
      </c>
      <c r="E99" s="14"/>
      <c r="F99" s="14"/>
      <c r="G99" s="14"/>
      <c r="H99" s="1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56">
        <v>96.0</v>
      </c>
      <c r="B100" s="56" t="s">
        <v>122</v>
      </c>
      <c r="C100" s="56" t="s">
        <v>33</v>
      </c>
      <c r="D100" s="57">
        <v>1.0</v>
      </c>
      <c r="E100" s="14"/>
      <c r="F100" s="14"/>
      <c r="G100" s="14"/>
      <c r="H100" s="1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56">
        <v>97.0</v>
      </c>
      <c r="B101" s="56" t="s">
        <v>123</v>
      </c>
      <c r="C101" s="56" t="s">
        <v>33</v>
      </c>
      <c r="D101" s="57">
        <v>1.0</v>
      </c>
      <c r="E101" s="14"/>
      <c r="F101" s="14"/>
      <c r="G101" s="14"/>
      <c r="H101" s="1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56">
        <v>98.0</v>
      </c>
      <c r="B102" s="56" t="s">
        <v>124</v>
      </c>
      <c r="C102" s="56" t="s">
        <v>33</v>
      </c>
      <c r="D102" s="57">
        <v>1.0</v>
      </c>
      <c r="E102" s="14"/>
      <c r="F102" s="14"/>
      <c r="G102" s="14"/>
      <c r="H102" s="1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56">
        <v>99.0</v>
      </c>
      <c r="B103" s="56" t="s">
        <v>125</v>
      </c>
      <c r="C103" s="56" t="s">
        <v>33</v>
      </c>
      <c r="D103" s="57">
        <v>1.0</v>
      </c>
      <c r="E103" s="14"/>
      <c r="F103" s="14"/>
      <c r="G103" s="14"/>
      <c r="H103" s="1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56">
        <v>100.0</v>
      </c>
      <c r="B104" s="56" t="s">
        <v>126</v>
      </c>
      <c r="C104" s="56" t="s">
        <v>33</v>
      </c>
      <c r="D104" s="57">
        <v>1.0</v>
      </c>
      <c r="E104" s="14"/>
      <c r="F104" s="14"/>
      <c r="G104" s="14"/>
      <c r="H104" s="1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56">
        <v>101.0</v>
      </c>
      <c r="B105" s="56" t="s">
        <v>127</v>
      </c>
      <c r="C105" s="56" t="s">
        <v>33</v>
      </c>
      <c r="D105" s="57">
        <v>1.0</v>
      </c>
      <c r="E105" s="14"/>
      <c r="F105" s="14"/>
      <c r="G105" s="14"/>
      <c r="H105" s="1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56">
        <v>102.0</v>
      </c>
      <c r="B106" s="56" t="s">
        <v>128</v>
      </c>
      <c r="C106" s="56" t="s">
        <v>33</v>
      </c>
      <c r="D106" s="57">
        <v>1.0</v>
      </c>
      <c r="E106" s="14"/>
      <c r="F106" s="14"/>
      <c r="G106" s="14"/>
      <c r="H106" s="1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56">
        <v>103.0</v>
      </c>
      <c r="B107" s="56" t="s">
        <v>129</v>
      </c>
      <c r="C107" s="56" t="s">
        <v>33</v>
      </c>
      <c r="D107" s="57">
        <v>1.0</v>
      </c>
      <c r="E107" s="14"/>
      <c r="F107" s="14"/>
      <c r="G107" s="14"/>
      <c r="H107" s="1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56">
        <v>104.0</v>
      </c>
      <c r="B108" s="56" t="s">
        <v>130</v>
      </c>
      <c r="C108" s="56" t="s">
        <v>33</v>
      </c>
      <c r="D108" s="57">
        <v>1.0</v>
      </c>
      <c r="E108" s="14"/>
      <c r="F108" s="14"/>
      <c r="G108" s="14"/>
      <c r="H108" s="1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56">
        <v>105.0</v>
      </c>
      <c r="B109" s="56" t="s">
        <v>131</v>
      </c>
      <c r="C109" s="56" t="s">
        <v>33</v>
      </c>
      <c r="D109" s="57">
        <v>1.0</v>
      </c>
      <c r="E109" s="14"/>
      <c r="F109" s="14"/>
      <c r="G109" s="14"/>
      <c r="H109" s="1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56">
        <v>106.0</v>
      </c>
      <c r="B110" s="56" t="s">
        <v>132</v>
      </c>
      <c r="C110" s="56" t="s">
        <v>31</v>
      </c>
      <c r="D110" s="57">
        <v>2.0</v>
      </c>
      <c r="E110" s="14"/>
      <c r="F110" s="14"/>
      <c r="G110" s="14"/>
      <c r="H110" s="1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56">
        <v>107.0</v>
      </c>
      <c r="B111" s="56" t="s">
        <v>133</v>
      </c>
      <c r="C111" s="56" t="s">
        <v>31</v>
      </c>
      <c r="D111" s="57">
        <v>2.0</v>
      </c>
      <c r="E111" s="14"/>
      <c r="F111" s="14"/>
      <c r="G111" s="14"/>
      <c r="H111" s="1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56">
        <v>108.0</v>
      </c>
      <c r="B112" s="56" t="s">
        <v>134</v>
      </c>
      <c r="C112" s="56" t="s">
        <v>31</v>
      </c>
      <c r="D112" s="57">
        <v>2.0</v>
      </c>
      <c r="E112" s="14"/>
      <c r="F112" s="14"/>
      <c r="G112" s="14"/>
      <c r="H112" s="1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56">
        <v>109.0</v>
      </c>
      <c r="B113" s="56" t="s">
        <v>135</v>
      </c>
      <c r="C113" s="56" t="s">
        <v>31</v>
      </c>
      <c r="D113" s="57">
        <v>2.0</v>
      </c>
      <c r="E113" s="14"/>
      <c r="F113" s="14"/>
      <c r="G113" s="14"/>
      <c r="H113" s="1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56">
        <v>110.0</v>
      </c>
      <c r="B114" s="56" t="s">
        <v>136</v>
      </c>
      <c r="C114" s="56" t="s">
        <v>31</v>
      </c>
      <c r="D114" s="57">
        <v>2.0</v>
      </c>
      <c r="E114" s="14"/>
      <c r="F114" s="14"/>
      <c r="G114" s="14"/>
      <c r="H114" s="1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56">
        <v>111.0</v>
      </c>
      <c r="B115" s="56" t="s">
        <v>137</v>
      </c>
      <c r="C115" s="56" t="s">
        <v>31</v>
      </c>
      <c r="D115" s="57">
        <v>2.0</v>
      </c>
      <c r="E115" s="14"/>
      <c r="F115" s="14"/>
      <c r="G115" s="14"/>
      <c r="H115" s="1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56">
        <v>112.0</v>
      </c>
      <c r="B116" s="56" t="s">
        <v>138</v>
      </c>
      <c r="C116" s="56" t="s">
        <v>33</v>
      </c>
      <c r="D116" s="57">
        <v>2.0</v>
      </c>
      <c r="E116" s="14"/>
      <c r="F116" s="14"/>
      <c r="G116" s="14"/>
      <c r="H116" s="1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56">
        <v>113.0</v>
      </c>
      <c r="B117" s="56" t="s">
        <v>139</v>
      </c>
      <c r="C117" s="56" t="s">
        <v>33</v>
      </c>
      <c r="D117" s="57">
        <v>2.0</v>
      </c>
      <c r="E117" s="14"/>
      <c r="F117" s="14"/>
      <c r="G117" s="14"/>
      <c r="H117" s="1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56">
        <v>114.0</v>
      </c>
      <c r="B118" s="56" t="s">
        <v>140</v>
      </c>
      <c r="C118" s="56" t="s">
        <v>33</v>
      </c>
      <c r="D118" s="57">
        <v>2.0</v>
      </c>
      <c r="E118" s="14"/>
      <c r="F118" s="14"/>
      <c r="G118" s="14"/>
      <c r="H118" s="1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56">
        <v>115.0</v>
      </c>
      <c r="B119" s="56" t="s">
        <v>141</v>
      </c>
      <c r="C119" s="56" t="s">
        <v>33</v>
      </c>
      <c r="D119" s="57">
        <v>2.0</v>
      </c>
      <c r="E119" s="14"/>
      <c r="F119" s="14"/>
      <c r="G119" s="14"/>
      <c r="H119" s="1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56">
        <v>116.0</v>
      </c>
      <c r="B120" s="56" t="s">
        <v>142</v>
      </c>
      <c r="C120" s="56" t="s">
        <v>33</v>
      </c>
      <c r="D120" s="57">
        <v>2.0</v>
      </c>
      <c r="E120" s="14"/>
      <c r="F120" s="14"/>
      <c r="G120" s="14"/>
      <c r="H120" s="1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56">
        <v>117.0</v>
      </c>
      <c r="B121" s="56" t="s">
        <v>143</v>
      </c>
      <c r="C121" s="56" t="s">
        <v>33</v>
      </c>
      <c r="D121" s="57">
        <v>2.0</v>
      </c>
      <c r="E121" s="14"/>
      <c r="F121" s="14"/>
      <c r="G121" s="14"/>
      <c r="H121" s="1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56">
        <v>118.0</v>
      </c>
      <c r="B122" s="56" t="s">
        <v>144</v>
      </c>
      <c r="C122" s="56" t="s">
        <v>33</v>
      </c>
      <c r="D122" s="57">
        <v>2.0</v>
      </c>
      <c r="E122" s="14"/>
      <c r="F122" s="14"/>
      <c r="G122" s="14"/>
      <c r="H122" s="1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56">
        <v>119.0</v>
      </c>
      <c r="B123" s="56" t="s">
        <v>145</v>
      </c>
      <c r="C123" s="56" t="s">
        <v>33</v>
      </c>
      <c r="D123" s="57">
        <v>2.0</v>
      </c>
      <c r="E123" s="14"/>
      <c r="F123" s="14"/>
      <c r="G123" s="14"/>
      <c r="H123" s="1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56">
        <v>120.0</v>
      </c>
      <c r="B124" s="56" t="s">
        <v>146</v>
      </c>
      <c r="C124" s="56" t="s">
        <v>33</v>
      </c>
      <c r="D124" s="57">
        <v>2.0</v>
      </c>
      <c r="E124" s="14"/>
      <c r="F124" s="14"/>
      <c r="G124" s="14"/>
      <c r="H124" s="1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56">
        <v>121.0</v>
      </c>
      <c r="B125" s="56" t="s">
        <v>147</v>
      </c>
      <c r="C125" s="56" t="s">
        <v>33</v>
      </c>
      <c r="D125" s="57">
        <v>2.0</v>
      </c>
      <c r="E125" s="14"/>
      <c r="F125" s="14"/>
      <c r="G125" s="14"/>
      <c r="H125" s="1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56">
        <v>122.0</v>
      </c>
      <c r="B126" s="56" t="s">
        <v>148</v>
      </c>
      <c r="C126" s="56" t="s">
        <v>33</v>
      </c>
      <c r="D126" s="57">
        <v>2.0</v>
      </c>
      <c r="E126" s="14"/>
      <c r="F126" s="14"/>
      <c r="G126" s="14"/>
      <c r="H126" s="1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56">
        <v>123.0</v>
      </c>
      <c r="B127" s="56" t="s">
        <v>149</v>
      </c>
      <c r="C127" s="56" t="s">
        <v>33</v>
      </c>
      <c r="D127" s="57">
        <v>2.0</v>
      </c>
      <c r="E127" s="14"/>
      <c r="F127" s="14"/>
      <c r="G127" s="14"/>
      <c r="H127" s="1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56">
        <v>124.0</v>
      </c>
      <c r="B128" s="56" t="s">
        <v>150</v>
      </c>
      <c r="C128" s="56" t="s">
        <v>33</v>
      </c>
      <c r="D128" s="57">
        <v>2.0</v>
      </c>
      <c r="E128" s="14"/>
      <c r="F128" s="14"/>
      <c r="G128" s="14"/>
      <c r="H128" s="1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56">
        <v>125.0</v>
      </c>
      <c r="B129" s="56" t="s">
        <v>151</v>
      </c>
      <c r="C129" s="56" t="s">
        <v>33</v>
      </c>
      <c r="D129" s="57">
        <v>2.0</v>
      </c>
      <c r="E129" s="14"/>
      <c r="F129" s="14"/>
      <c r="G129" s="14"/>
      <c r="H129" s="1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56">
        <v>126.0</v>
      </c>
      <c r="B130" s="56" t="s">
        <v>152</v>
      </c>
      <c r="C130" s="56" t="s">
        <v>33</v>
      </c>
      <c r="D130" s="57">
        <v>2.0</v>
      </c>
      <c r="E130" s="14"/>
      <c r="F130" s="14"/>
      <c r="G130" s="14"/>
      <c r="H130" s="1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56">
        <v>127.0</v>
      </c>
      <c r="B131" s="56" t="s">
        <v>153</v>
      </c>
      <c r="C131" s="56" t="s">
        <v>33</v>
      </c>
      <c r="D131" s="57">
        <v>2.0</v>
      </c>
      <c r="E131" s="14"/>
      <c r="F131" s="14"/>
      <c r="G131" s="14"/>
      <c r="H131" s="1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56">
        <v>128.0</v>
      </c>
      <c r="B132" s="56" t="s">
        <v>154</v>
      </c>
      <c r="C132" s="56" t="s">
        <v>33</v>
      </c>
      <c r="D132" s="57">
        <v>2.0</v>
      </c>
      <c r="E132" s="14"/>
      <c r="F132" s="14"/>
      <c r="G132" s="14"/>
      <c r="H132" s="1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56">
        <v>129.0</v>
      </c>
      <c r="B133" s="56" t="s">
        <v>155</v>
      </c>
      <c r="C133" s="56" t="s">
        <v>33</v>
      </c>
      <c r="D133" s="57">
        <v>2.0</v>
      </c>
      <c r="E133" s="14"/>
      <c r="F133" s="14"/>
      <c r="G133" s="14"/>
      <c r="H133" s="1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56">
        <v>130.0</v>
      </c>
      <c r="B134" s="56" t="s">
        <v>156</v>
      </c>
      <c r="C134" s="56" t="s">
        <v>33</v>
      </c>
      <c r="D134" s="57">
        <v>2.0</v>
      </c>
      <c r="E134" s="14"/>
      <c r="F134" s="14"/>
      <c r="G134" s="14"/>
      <c r="H134" s="1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56">
        <v>131.0</v>
      </c>
      <c r="B135" s="56" t="s">
        <v>157</v>
      </c>
      <c r="C135" s="56" t="s">
        <v>33</v>
      </c>
      <c r="D135" s="57">
        <v>2.0</v>
      </c>
      <c r="E135" s="14"/>
      <c r="F135" s="14"/>
      <c r="G135" s="14"/>
      <c r="H135" s="1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56">
        <v>132.0</v>
      </c>
      <c r="B136" s="56" t="s">
        <v>158</v>
      </c>
      <c r="C136" s="56" t="s">
        <v>33</v>
      </c>
      <c r="D136" s="57">
        <v>2.0</v>
      </c>
      <c r="E136" s="14"/>
      <c r="F136" s="14"/>
      <c r="G136" s="14"/>
      <c r="H136" s="1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56">
        <v>133.0</v>
      </c>
      <c r="B137" s="56" t="s">
        <v>159</v>
      </c>
      <c r="C137" s="56" t="s">
        <v>33</v>
      </c>
      <c r="D137" s="57">
        <v>2.0</v>
      </c>
      <c r="E137" s="14"/>
      <c r="F137" s="14"/>
      <c r="G137" s="14"/>
      <c r="H137" s="1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56">
        <v>134.0</v>
      </c>
      <c r="B138" s="56" t="s">
        <v>160</v>
      </c>
      <c r="C138" s="56" t="s">
        <v>33</v>
      </c>
      <c r="D138" s="57">
        <v>2.0</v>
      </c>
      <c r="E138" s="14"/>
      <c r="F138" s="14"/>
      <c r="G138" s="14"/>
      <c r="H138" s="1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56">
        <v>135.0</v>
      </c>
      <c r="B139" s="56" t="s">
        <v>161</v>
      </c>
      <c r="C139" s="56" t="s">
        <v>33</v>
      </c>
      <c r="D139" s="57">
        <v>2.0</v>
      </c>
      <c r="E139" s="14"/>
      <c r="F139" s="14"/>
      <c r="G139" s="14"/>
      <c r="H139" s="1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56">
        <v>136.0</v>
      </c>
      <c r="B140" s="56" t="s">
        <v>162</v>
      </c>
      <c r="C140" s="56" t="s">
        <v>33</v>
      </c>
      <c r="D140" s="57">
        <v>2.0</v>
      </c>
      <c r="E140" s="14"/>
      <c r="F140" s="14"/>
      <c r="G140" s="14"/>
      <c r="H140" s="1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56">
        <v>137.0</v>
      </c>
      <c r="B141" s="56" t="s">
        <v>163</v>
      </c>
      <c r="C141" s="56" t="s">
        <v>33</v>
      </c>
      <c r="D141" s="57">
        <v>2.0</v>
      </c>
      <c r="E141" s="14"/>
      <c r="F141" s="14"/>
      <c r="G141" s="14"/>
      <c r="H141" s="1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56">
        <v>138.0</v>
      </c>
      <c r="B142" s="56" t="s">
        <v>164</v>
      </c>
      <c r="C142" s="56" t="s">
        <v>33</v>
      </c>
      <c r="D142" s="57">
        <v>2.0</v>
      </c>
      <c r="E142" s="14"/>
      <c r="F142" s="14"/>
      <c r="G142" s="14"/>
      <c r="H142" s="1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56">
        <v>139.0</v>
      </c>
      <c r="B143" s="56" t="s">
        <v>165</v>
      </c>
      <c r="C143" s="56" t="s">
        <v>33</v>
      </c>
      <c r="D143" s="57">
        <v>2.0</v>
      </c>
      <c r="E143" s="14"/>
      <c r="F143" s="14"/>
      <c r="G143" s="14"/>
      <c r="H143" s="1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56">
        <v>140.0</v>
      </c>
      <c r="B144" s="56" t="s">
        <v>166</v>
      </c>
      <c r="C144" s="56" t="s">
        <v>33</v>
      </c>
      <c r="D144" s="57">
        <v>2.0</v>
      </c>
      <c r="E144" s="14"/>
      <c r="F144" s="14"/>
      <c r="G144" s="14"/>
      <c r="H144" s="1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56">
        <v>141.0</v>
      </c>
      <c r="B145" s="56" t="s">
        <v>167</v>
      </c>
      <c r="C145" s="56" t="s">
        <v>33</v>
      </c>
      <c r="D145" s="57">
        <v>2.0</v>
      </c>
      <c r="E145" s="14"/>
      <c r="F145" s="14"/>
      <c r="G145" s="14"/>
      <c r="H145" s="1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56">
        <v>142.0</v>
      </c>
      <c r="B146" s="56" t="s">
        <v>168</v>
      </c>
      <c r="C146" s="56" t="s">
        <v>33</v>
      </c>
      <c r="D146" s="57">
        <v>2.0</v>
      </c>
      <c r="E146" s="14"/>
      <c r="F146" s="14"/>
      <c r="G146" s="14"/>
      <c r="H146" s="1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56">
        <v>143.0</v>
      </c>
      <c r="B147" s="56" t="s">
        <v>169</v>
      </c>
      <c r="C147" s="56" t="s">
        <v>33</v>
      </c>
      <c r="D147" s="57">
        <v>2.0</v>
      </c>
      <c r="E147" s="14"/>
      <c r="F147" s="14"/>
      <c r="G147" s="14"/>
      <c r="H147" s="1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56">
        <v>144.0</v>
      </c>
      <c r="B148" s="56" t="s">
        <v>170</v>
      </c>
      <c r="C148" s="56" t="s">
        <v>33</v>
      </c>
      <c r="D148" s="57">
        <v>2.0</v>
      </c>
      <c r="E148" s="14"/>
      <c r="F148" s="14"/>
      <c r="G148" s="14"/>
      <c r="H148" s="1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56">
        <v>145.0</v>
      </c>
      <c r="B149" s="56" t="s">
        <v>171</v>
      </c>
      <c r="C149" s="56" t="s">
        <v>33</v>
      </c>
      <c r="D149" s="57">
        <v>2.0</v>
      </c>
      <c r="E149" s="14"/>
      <c r="F149" s="14"/>
      <c r="G149" s="14"/>
      <c r="H149" s="1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56">
        <v>146.0</v>
      </c>
      <c r="B150" s="56" t="s">
        <v>172</v>
      </c>
      <c r="C150" s="56" t="s">
        <v>33</v>
      </c>
      <c r="D150" s="57">
        <v>2.0</v>
      </c>
      <c r="E150" s="14"/>
      <c r="F150" s="14"/>
      <c r="G150" s="14"/>
      <c r="H150" s="1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56">
        <v>147.0</v>
      </c>
      <c r="B151" s="56" t="s">
        <v>173</v>
      </c>
      <c r="C151" s="56" t="s">
        <v>33</v>
      </c>
      <c r="D151" s="57">
        <v>2.0</v>
      </c>
      <c r="E151" s="14"/>
      <c r="F151" s="14"/>
      <c r="G151" s="14"/>
      <c r="H151" s="1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56">
        <v>148.0</v>
      </c>
      <c r="B152" s="56" t="s">
        <v>174</v>
      </c>
      <c r="C152" s="56" t="s">
        <v>33</v>
      </c>
      <c r="D152" s="57">
        <v>2.0</v>
      </c>
      <c r="E152" s="14"/>
      <c r="F152" s="14"/>
      <c r="G152" s="14"/>
      <c r="H152" s="1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56">
        <v>149.0</v>
      </c>
      <c r="B153" s="56" t="s">
        <v>175</v>
      </c>
      <c r="C153" s="56" t="s">
        <v>33</v>
      </c>
      <c r="D153" s="57">
        <v>2.0</v>
      </c>
      <c r="E153" s="14"/>
      <c r="F153" s="14"/>
      <c r="G153" s="14"/>
      <c r="H153" s="1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56">
        <v>150.0</v>
      </c>
      <c r="B154" s="56" t="s">
        <v>176</v>
      </c>
      <c r="C154" s="56" t="s">
        <v>33</v>
      </c>
      <c r="D154" s="57">
        <v>2.0</v>
      </c>
      <c r="E154" s="14"/>
      <c r="F154" s="14"/>
      <c r="G154" s="14"/>
      <c r="H154" s="1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56">
        <v>151.0</v>
      </c>
      <c r="B155" s="56" t="s">
        <v>177</v>
      </c>
      <c r="C155" s="56" t="s">
        <v>33</v>
      </c>
      <c r="D155" s="57">
        <v>2.0</v>
      </c>
      <c r="E155" s="14"/>
      <c r="F155" s="14"/>
      <c r="G155" s="14"/>
      <c r="H155" s="1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56">
        <v>152.0</v>
      </c>
      <c r="B156" s="56" t="s">
        <v>178</v>
      </c>
      <c r="C156" s="56" t="s">
        <v>33</v>
      </c>
      <c r="D156" s="57">
        <v>2.0</v>
      </c>
      <c r="E156" s="14"/>
      <c r="F156" s="14"/>
      <c r="G156" s="14"/>
      <c r="H156" s="1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56">
        <v>153.0</v>
      </c>
      <c r="B157" s="56" t="s">
        <v>179</v>
      </c>
      <c r="C157" s="56" t="s">
        <v>33</v>
      </c>
      <c r="D157" s="57">
        <v>2.0</v>
      </c>
      <c r="E157" s="14"/>
      <c r="F157" s="14"/>
      <c r="G157" s="14"/>
      <c r="H157" s="1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56">
        <v>154.0</v>
      </c>
      <c r="B158" s="56" t="s">
        <v>180</v>
      </c>
      <c r="C158" s="56" t="s">
        <v>33</v>
      </c>
      <c r="D158" s="57">
        <v>2.0</v>
      </c>
      <c r="E158" s="14"/>
      <c r="F158" s="14"/>
      <c r="G158" s="14"/>
      <c r="H158" s="1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56">
        <v>155.0</v>
      </c>
      <c r="B159" s="56" t="s">
        <v>181</v>
      </c>
      <c r="C159" s="56" t="s">
        <v>33</v>
      </c>
      <c r="D159" s="57">
        <v>2.0</v>
      </c>
      <c r="E159" s="14"/>
      <c r="F159" s="14"/>
      <c r="G159" s="14"/>
      <c r="H159" s="1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56">
        <v>156.0</v>
      </c>
      <c r="B160" s="56" t="s">
        <v>182</v>
      </c>
      <c r="C160" s="56" t="s">
        <v>33</v>
      </c>
      <c r="D160" s="57">
        <v>2.0</v>
      </c>
      <c r="E160" s="14"/>
      <c r="F160" s="14"/>
      <c r="G160" s="14"/>
      <c r="H160" s="1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56">
        <v>157.0</v>
      </c>
      <c r="B161" s="56" t="s">
        <v>183</v>
      </c>
      <c r="C161" s="56" t="s">
        <v>33</v>
      </c>
      <c r="D161" s="57">
        <v>2.0</v>
      </c>
      <c r="E161" s="14"/>
      <c r="F161" s="14"/>
      <c r="G161" s="14"/>
      <c r="H161" s="1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56">
        <v>158.0</v>
      </c>
      <c r="B162" s="56" t="s">
        <v>184</v>
      </c>
      <c r="C162" s="56" t="s">
        <v>33</v>
      </c>
      <c r="D162" s="57">
        <v>2.0</v>
      </c>
      <c r="E162" s="14"/>
      <c r="F162" s="14"/>
      <c r="G162" s="14"/>
      <c r="H162" s="1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56">
        <v>159.0</v>
      </c>
      <c r="B163" s="56" t="s">
        <v>185</v>
      </c>
      <c r="C163" s="56" t="s">
        <v>33</v>
      </c>
      <c r="D163" s="57">
        <v>2.0</v>
      </c>
      <c r="E163" s="14"/>
      <c r="F163" s="14"/>
      <c r="G163" s="14"/>
      <c r="H163" s="1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56">
        <v>160.0</v>
      </c>
      <c r="B164" s="56" t="s">
        <v>186</v>
      </c>
      <c r="C164" s="56" t="s">
        <v>33</v>
      </c>
      <c r="D164" s="57">
        <v>2.0</v>
      </c>
      <c r="E164" s="14"/>
      <c r="F164" s="14"/>
      <c r="G164" s="14"/>
      <c r="H164" s="1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56">
        <v>161.0</v>
      </c>
      <c r="B165" s="56" t="s">
        <v>187</v>
      </c>
      <c r="C165" s="56" t="s">
        <v>33</v>
      </c>
      <c r="D165" s="57">
        <v>2.0</v>
      </c>
      <c r="E165" s="14"/>
      <c r="F165" s="14"/>
      <c r="G165" s="14"/>
      <c r="H165" s="1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56">
        <v>162.0</v>
      </c>
      <c r="B166" s="56" t="s">
        <v>188</v>
      </c>
      <c r="C166" s="56" t="s">
        <v>33</v>
      </c>
      <c r="D166" s="57">
        <v>2.0</v>
      </c>
      <c r="E166" s="14"/>
      <c r="F166" s="14"/>
      <c r="G166" s="14"/>
      <c r="H166" s="1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56">
        <v>163.0</v>
      </c>
      <c r="B167" s="56" t="s">
        <v>189</v>
      </c>
      <c r="C167" s="56" t="s">
        <v>33</v>
      </c>
      <c r="D167" s="57">
        <v>2.0</v>
      </c>
      <c r="E167" s="14"/>
      <c r="F167" s="14"/>
      <c r="G167" s="14"/>
      <c r="H167" s="1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56">
        <v>164.0</v>
      </c>
      <c r="B168" s="56" t="s">
        <v>190</v>
      </c>
      <c r="C168" s="56" t="s">
        <v>33</v>
      </c>
      <c r="D168" s="57">
        <v>2.0</v>
      </c>
      <c r="E168" s="14"/>
      <c r="F168" s="14"/>
      <c r="G168" s="14"/>
      <c r="H168" s="1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56">
        <v>165.0</v>
      </c>
      <c r="B169" s="56" t="s">
        <v>191</v>
      </c>
      <c r="C169" s="56" t="s">
        <v>33</v>
      </c>
      <c r="D169" s="57">
        <v>2.0</v>
      </c>
      <c r="E169" s="14"/>
      <c r="F169" s="14"/>
      <c r="G169" s="14"/>
      <c r="H169" s="1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56">
        <v>166.0</v>
      </c>
      <c r="B170" s="56" t="s">
        <v>192</v>
      </c>
      <c r="C170" s="56" t="s">
        <v>33</v>
      </c>
      <c r="D170" s="57">
        <v>2.0</v>
      </c>
      <c r="E170" s="14"/>
      <c r="F170" s="14"/>
      <c r="G170" s="14"/>
      <c r="H170" s="1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56">
        <v>167.0</v>
      </c>
      <c r="B171" s="56" t="s">
        <v>193</v>
      </c>
      <c r="C171" s="56" t="s">
        <v>33</v>
      </c>
      <c r="D171" s="57">
        <v>2.0</v>
      </c>
      <c r="E171" s="14"/>
      <c r="F171" s="14"/>
      <c r="G171" s="14"/>
      <c r="H171" s="1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56">
        <v>168.0</v>
      </c>
      <c r="B172" s="56" t="s">
        <v>194</v>
      </c>
      <c r="C172" s="56" t="s">
        <v>33</v>
      </c>
      <c r="D172" s="57">
        <v>2.0</v>
      </c>
      <c r="E172" s="14"/>
      <c r="F172" s="14"/>
      <c r="G172" s="14"/>
      <c r="H172" s="1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56">
        <v>169.0</v>
      </c>
      <c r="B173" s="56" t="s">
        <v>195</v>
      </c>
      <c r="C173" s="56" t="s">
        <v>33</v>
      </c>
      <c r="D173" s="57">
        <v>2.0</v>
      </c>
      <c r="E173" s="14"/>
      <c r="F173" s="14"/>
      <c r="G173" s="14"/>
      <c r="H173" s="1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56">
        <v>170.0</v>
      </c>
      <c r="B174" s="56" t="s">
        <v>196</v>
      </c>
      <c r="C174" s="56" t="s">
        <v>33</v>
      </c>
      <c r="D174" s="57">
        <v>2.0</v>
      </c>
      <c r="E174" s="14"/>
      <c r="F174" s="14"/>
      <c r="G174" s="14"/>
      <c r="H174" s="1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56">
        <v>171.0</v>
      </c>
      <c r="B175" s="56" t="s">
        <v>197</v>
      </c>
      <c r="C175" s="56" t="s">
        <v>33</v>
      </c>
      <c r="D175" s="57">
        <v>2.0</v>
      </c>
      <c r="E175" s="14"/>
      <c r="F175" s="14"/>
      <c r="G175" s="14"/>
      <c r="H175" s="1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56">
        <v>172.0</v>
      </c>
      <c r="B176" s="56" t="s">
        <v>198</v>
      </c>
      <c r="C176" s="56" t="s">
        <v>33</v>
      </c>
      <c r="D176" s="57">
        <v>2.0</v>
      </c>
      <c r="E176" s="14"/>
      <c r="F176" s="14"/>
      <c r="G176" s="14"/>
      <c r="H176" s="1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56">
        <v>173.0</v>
      </c>
      <c r="B177" s="56" t="s">
        <v>199</v>
      </c>
      <c r="C177" s="56" t="s">
        <v>33</v>
      </c>
      <c r="D177" s="57">
        <v>2.0</v>
      </c>
      <c r="E177" s="14"/>
      <c r="F177" s="14"/>
      <c r="G177" s="14"/>
      <c r="H177" s="1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56">
        <v>174.0</v>
      </c>
      <c r="B178" s="56" t="s">
        <v>200</v>
      </c>
      <c r="C178" s="56" t="s">
        <v>33</v>
      </c>
      <c r="D178" s="57">
        <v>2.0</v>
      </c>
      <c r="E178" s="14"/>
      <c r="F178" s="14"/>
      <c r="G178" s="14"/>
      <c r="H178" s="1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56">
        <v>175.0</v>
      </c>
      <c r="B179" s="56" t="s">
        <v>201</v>
      </c>
      <c r="C179" s="56" t="s">
        <v>33</v>
      </c>
      <c r="D179" s="57">
        <v>2.0</v>
      </c>
      <c r="E179" s="14"/>
      <c r="F179" s="14"/>
      <c r="G179" s="14"/>
      <c r="H179" s="1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56">
        <v>176.0</v>
      </c>
      <c r="B180" s="56" t="s">
        <v>202</v>
      </c>
      <c r="C180" s="56" t="s">
        <v>33</v>
      </c>
      <c r="D180" s="57">
        <v>2.0</v>
      </c>
      <c r="E180" s="14"/>
      <c r="F180" s="14"/>
      <c r="G180" s="14"/>
      <c r="H180" s="1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6">
        <v>177.0</v>
      </c>
      <c r="B181" s="56" t="s">
        <v>203</v>
      </c>
      <c r="C181" s="56" t="s">
        <v>33</v>
      </c>
      <c r="D181" s="57">
        <v>2.0</v>
      </c>
      <c r="E181" s="14"/>
      <c r="F181" s="14"/>
      <c r="G181" s="14"/>
      <c r="H181" s="1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6">
        <v>178.0</v>
      </c>
      <c r="B182" s="56" t="s">
        <v>204</v>
      </c>
      <c r="C182" s="56" t="s">
        <v>33</v>
      </c>
      <c r="D182" s="57">
        <v>2.0</v>
      </c>
      <c r="E182" s="14"/>
      <c r="F182" s="14"/>
      <c r="G182" s="14"/>
      <c r="H182" s="1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56">
        <v>179.0</v>
      </c>
      <c r="B183" s="56" t="s">
        <v>205</v>
      </c>
      <c r="C183" s="56" t="s">
        <v>33</v>
      </c>
      <c r="D183" s="57">
        <v>2.0</v>
      </c>
      <c r="E183" s="14"/>
      <c r="F183" s="14"/>
      <c r="G183" s="14"/>
      <c r="H183" s="1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56">
        <v>180.0</v>
      </c>
      <c r="B184" s="56" t="s">
        <v>206</v>
      </c>
      <c r="C184" s="56" t="s">
        <v>33</v>
      </c>
      <c r="D184" s="57">
        <v>2.0</v>
      </c>
      <c r="E184" s="14"/>
      <c r="F184" s="14"/>
      <c r="G184" s="14"/>
      <c r="H184" s="1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56">
        <v>181.0</v>
      </c>
      <c r="B185" s="56" t="s">
        <v>207</v>
      </c>
      <c r="C185" s="56" t="s">
        <v>33</v>
      </c>
      <c r="D185" s="57">
        <v>2.0</v>
      </c>
      <c r="E185" s="14"/>
      <c r="F185" s="14"/>
      <c r="G185" s="14"/>
      <c r="H185" s="1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56">
        <v>182.0</v>
      </c>
      <c r="B186" s="56" t="s">
        <v>208</v>
      </c>
      <c r="C186" s="56" t="s">
        <v>33</v>
      </c>
      <c r="D186" s="57">
        <v>2.0</v>
      </c>
      <c r="E186" s="14"/>
      <c r="F186" s="14"/>
      <c r="G186" s="14"/>
      <c r="H186" s="1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56">
        <v>183.0</v>
      </c>
      <c r="B187" s="56" t="s">
        <v>209</v>
      </c>
      <c r="C187" s="56" t="s">
        <v>33</v>
      </c>
      <c r="D187" s="57">
        <v>2.0</v>
      </c>
      <c r="E187" s="14"/>
      <c r="F187" s="14"/>
      <c r="G187" s="14"/>
      <c r="H187" s="1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56">
        <v>184.0</v>
      </c>
      <c r="B188" s="56" t="s">
        <v>210</v>
      </c>
      <c r="C188" s="56" t="s">
        <v>33</v>
      </c>
      <c r="D188" s="57">
        <v>2.0</v>
      </c>
      <c r="E188" s="14"/>
      <c r="F188" s="14"/>
      <c r="G188" s="14"/>
      <c r="H188" s="1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56">
        <v>185.0</v>
      </c>
      <c r="B189" s="56" t="s">
        <v>211</v>
      </c>
      <c r="C189" s="56" t="s">
        <v>33</v>
      </c>
      <c r="D189" s="57">
        <v>2.0</v>
      </c>
      <c r="E189" s="14"/>
      <c r="F189" s="14"/>
      <c r="G189" s="14"/>
      <c r="H189" s="1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56">
        <v>186.0</v>
      </c>
      <c r="B190" s="56" t="s">
        <v>212</v>
      </c>
      <c r="C190" s="56" t="s">
        <v>33</v>
      </c>
      <c r="D190" s="57">
        <v>2.0</v>
      </c>
      <c r="E190" s="14"/>
      <c r="F190" s="14"/>
      <c r="G190" s="14"/>
      <c r="H190" s="1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56">
        <v>187.0</v>
      </c>
      <c r="B191" s="56" t="s">
        <v>213</v>
      </c>
      <c r="C191" s="56" t="s">
        <v>33</v>
      </c>
      <c r="D191" s="57">
        <v>2.0</v>
      </c>
      <c r="E191" s="14"/>
      <c r="F191" s="14"/>
      <c r="G191" s="14"/>
      <c r="H191" s="1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56">
        <v>188.0</v>
      </c>
      <c r="B192" s="56" t="s">
        <v>214</v>
      </c>
      <c r="C192" s="56" t="s">
        <v>33</v>
      </c>
      <c r="D192" s="57">
        <v>2.0</v>
      </c>
      <c r="E192" s="14"/>
      <c r="F192" s="14"/>
      <c r="G192" s="14"/>
      <c r="H192" s="1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56">
        <v>189.0</v>
      </c>
      <c r="B193" s="56" t="s">
        <v>215</v>
      </c>
      <c r="C193" s="56" t="s">
        <v>33</v>
      </c>
      <c r="D193" s="57">
        <v>2.0</v>
      </c>
      <c r="E193" s="14"/>
      <c r="F193" s="14"/>
      <c r="G193" s="14"/>
      <c r="H193" s="1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56">
        <v>190.0</v>
      </c>
      <c r="B194" s="56" t="s">
        <v>216</v>
      </c>
      <c r="C194" s="56" t="s">
        <v>33</v>
      </c>
      <c r="D194" s="57">
        <v>2.0</v>
      </c>
      <c r="E194" s="14"/>
      <c r="F194" s="14"/>
      <c r="G194" s="14"/>
      <c r="H194" s="1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56">
        <v>191.0</v>
      </c>
      <c r="B195" s="56" t="s">
        <v>217</v>
      </c>
      <c r="C195" s="56" t="s">
        <v>33</v>
      </c>
      <c r="D195" s="57">
        <v>2.0</v>
      </c>
      <c r="E195" s="14"/>
      <c r="F195" s="14"/>
      <c r="G195" s="14"/>
      <c r="H195" s="1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56">
        <v>192.0</v>
      </c>
      <c r="B196" s="56" t="s">
        <v>218</v>
      </c>
      <c r="C196" s="56" t="s">
        <v>33</v>
      </c>
      <c r="D196" s="57">
        <v>2.0</v>
      </c>
      <c r="E196" s="14"/>
      <c r="F196" s="14"/>
      <c r="G196" s="14"/>
      <c r="H196" s="1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56">
        <v>193.0</v>
      </c>
      <c r="B197" s="56" t="s">
        <v>219</v>
      </c>
      <c r="C197" s="56" t="s">
        <v>33</v>
      </c>
      <c r="D197" s="57">
        <v>2.0</v>
      </c>
      <c r="E197" s="14"/>
      <c r="F197" s="14"/>
      <c r="G197" s="14"/>
      <c r="H197" s="1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56">
        <v>194.0</v>
      </c>
      <c r="B198" s="56" t="s">
        <v>220</v>
      </c>
      <c r="C198" s="56" t="s">
        <v>33</v>
      </c>
      <c r="D198" s="57">
        <v>2.0</v>
      </c>
      <c r="E198" s="14"/>
      <c r="F198" s="14"/>
      <c r="G198" s="14"/>
      <c r="H198" s="1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56">
        <v>195.0</v>
      </c>
      <c r="B199" s="56" t="s">
        <v>221</v>
      </c>
      <c r="C199" s="56" t="s">
        <v>33</v>
      </c>
      <c r="D199" s="57">
        <v>2.0</v>
      </c>
      <c r="E199" s="14"/>
      <c r="F199" s="14"/>
      <c r="G199" s="14"/>
      <c r="H199" s="1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56">
        <v>196.0</v>
      </c>
      <c r="B200" s="56" t="s">
        <v>222</v>
      </c>
      <c r="C200" s="56" t="s">
        <v>33</v>
      </c>
      <c r="D200" s="57">
        <v>2.0</v>
      </c>
      <c r="E200" s="14"/>
      <c r="F200" s="14"/>
      <c r="G200" s="14"/>
      <c r="H200" s="1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56">
        <v>197.0</v>
      </c>
      <c r="B201" s="56" t="s">
        <v>223</v>
      </c>
      <c r="C201" s="56" t="s">
        <v>33</v>
      </c>
      <c r="D201" s="57">
        <v>2.0</v>
      </c>
      <c r="E201" s="14"/>
      <c r="F201" s="14"/>
      <c r="G201" s="14"/>
      <c r="H201" s="1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56">
        <v>198.0</v>
      </c>
      <c r="B202" s="56" t="s">
        <v>224</v>
      </c>
      <c r="C202" s="56" t="s">
        <v>33</v>
      </c>
      <c r="D202" s="57">
        <v>2.0</v>
      </c>
      <c r="E202" s="14"/>
      <c r="F202" s="14"/>
      <c r="G202" s="14"/>
      <c r="H202" s="1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56">
        <v>199.0</v>
      </c>
      <c r="B203" s="56" t="s">
        <v>225</v>
      </c>
      <c r="C203" s="56" t="s">
        <v>33</v>
      </c>
      <c r="D203" s="57">
        <v>2.0</v>
      </c>
      <c r="E203" s="14"/>
      <c r="F203" s="14"/>
      <c r="G203" s="14"/>
      <c r="H203" s="1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56">
        <v>200.0</v>
      </c>
      <c r="B204" s="56" t="s">
        <v>226</v>
      </c>
      <c r="C204" s="56" t="s">
        <v>33</v>
      </c>
      <c r="D204" s="57">
        <v>2.0</v>
      </c>
      <c r="E204" s="14"/>
      <c r="F204" s="14"/>
      <c r="G204" s="14"/>
      <c r="H204" s="1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56">
        <v>201.0</v>
      </c>
      <c r="B205" s="56" t="s">
        <v>227</v>
      </c>
      <c r="C205" s="56" t="s">
        <v>33</v>
      </c>
      <c r="D205" s="57">
        <v>2.0</v>
      </c>
      <c r="E205" s="14"/>
      <c r="F205" s="14"/>
      <c r="G205" s="14"/>
      <c r="H205" s="1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56">
        <v>202.0</v>
      </c>
      <c r="B206" s="56" t="s">
        <v>228</v>
      </c>
      <c r="C206" s="56" t="s">
        <v>33</v>
      </c>
      <c r="D206" s="57">
        <v>2.0</v>
      </c>
      <c r="E206" s="14"/>
      <c r="F206" s="14"/>
      <c r="G206" s="14"/>
      <c r="H206" s="1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56">
        <v>203.0</v>
      </c>
      <c r="B207" s="56" t="s">
        <v>229</v>
      </c>
      <c r="C207" s="56" t="s">
        <v>24</v>
      </c>
      <c r="D207" s="57">
        <v>3.0</v>
      </c>
      <c r="E207" s="14"/>
      <c r="F207" s="14"/>
      <c r="G207" s="14"/>
      <c r="H207" s="1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56">
        <v>204.0</v>
      </c>
      <c r="B208" s="56" t="s">
        <v>230</v>
      </c>
      <c r="C208" s="56" t="s">
        <v>31</v>
      </c>
      <c r="D208" s="57">
        <v>3.0</v>
      </c>
      <c r="E208" s="14"/>
      <c r="F208" s="14"/>
      <c r="G208" s="14"/>
      <c r="H208" s="1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56">
        <v>205.0</v>
      </c>
      <c r="B209" s="56" t="s">
        <v>231</v>
      </c>
      <c r="C209" s="56" t="s">
        <v>33</v>
      </c>
      <c r="D209" s="57">
        <v>3.0</v>
      </c>
      <c r="E209" s="14"/>
      <c r="F209" s="14"/>
      <c r="G209" s="14"/>
      <c r="H209" s="1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56">
        <v>206.0</v>
      </c>
      <c r="B210" s="56" t="s">
        <v>232</v>
      </c>
      <c r="C210" s="56" t="s">
        <v>33</v>
      </c>
      <c r="D210" s="57">
        <v>3.0</v>
      </c>
      <c r="E210" s="14"/>
      <c r="F210" s="14"/>
      <c r="G210" s="14"/>
      <c r="H210" s="1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6">
        <v>207.0</v>
      </c>
      <c r="B211" s="56" t="s">
        <v>233</v>
      </c>
      <c r="C211" s="56" t="s">
        <v>33</v>
      </c>
      <c r="D211" s="57">
        <v>3.0</v>
      </c>
      <c r="E211" s="14"/>
      <c r="F211" s="14"/>
      <c r="G211" s="14"/>
      <c r="H211" s="1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6">
        <v>208.0</v>
      </c>
      <c r="B212" s="56" t="s">
        <v>234</v>
      </c>
      <c r="C212" s="56" t="s">
        <v>33</v>
      </c>
      <c r="D212" s="57">
        <v>3.0</v>
      </c>
      <c r="E212" s="14"/>
      <c r="F212" s="14"/>
      <c r="G212" s="14"/>
      <c r="H212" s="1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56">
        <v>209.0</v>
      </c>
      <c r="B213" s="56" t="s">
        <v>235</v>
      </c>
      <c r="C213" s="56" t="s">
        <v>33</v>
      </c>
      <c r="D213" s="57">
        <v>3.0</v>
      </c>
      <c r="E213" s="14"/>
      <c r="F213" s="14"/>
      <c r="G213" s="14"/>
      <c r="H213" s="1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56">
        <v>210.0</v>
      </c>
      <c r="B214" s="56" t="s">
        <v>236</v>
      </c>
      <c r="C214" s="56" t="s">
        <v>33</v>
      </c>
      <c r="D214" s="57">
        <v>3.0</v>
      </c>
      <c r="E214" s="14"/>
      <c r="F214" s="14"/>
      <c r="G214" s="14"/>
      <c r="H214" s="1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56">
        <v>211.0</v>
      </c>
      <c r="B215" s="56" t="s">
        <v>237</v>
      </c>
      <c r="C215" s="56" t="s">
        <v>33</v>
      </c>
      <c r="D215" s="57">
        <v>3.0</v>
      </c>
      <c r="E215" s="14"/>
      <c r="F215" s="14"/>
      <c r="G215" s="14"/>
      <c r="H215" s="1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56">
        <v>212.0</v>
      </c>
      <c r="B216" s="56" t="s">
        <v>238</v>
      </c>
      <c r="C216" s="56" t="s">
        <v>33</v>
      </c>
      <c r="D216" s="57">
        <v>3.0</v>
      </c>
      <c r="E216" s="14"/>
      <c r="F216" s="14"/>
      <c r="G216" s="14"/>
      <c r="H216" s="1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56">
        <v>213.0</v>
      </c>
      <c r="B217" s="56" t="s">
        <v>239</v>
      </c>
      <c r="C217" s="56" t="s">
        <v>33</v>
      </c>
      <c r="D217" s="57">
        <v>3.0</v>
      </c>
      <c r="E217" s="14"/>
      <c r="F217" s="14"/>
      <c r="G217" s="14"/>
      <c r="H217" s="1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6">
        <v>214.0</v>
      </c>
      <c r="B218" s="56" t="s">
        <v>240</v>
      </c>
      <c r="C218" s="56" t="s">
        <v>33</v>
      </c>
      <c r="D218" s="57">
        <v>3.0</v>
      </c>
      <c r="E218" s="14"/>
      <c r="F218" s="14"/>
      <c r="G218" s="14"/>
      <c r="H218" s="1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56">
        <v>215.0</v>
      </c>
      <c r="B219" s="56" t="s">
        <v>241</v>
      </c>
      <c r="C219" s="56" t="s">
        <v>33</v>
      </c>
      <c r="D219" s="57">
        <v>3.0</v>
      </c>
      <c r="E219" s="14"/>
      <c r="F219" s="14"/>
      <c r="G219" s="14"/>
      <c r="H219" s="1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6">
        <v>216.0</v>
      </c>
      <c r="B220" s="56" t="s">
        <v>242</v>
      </c>
      <c r="C220" s="56" t="s">
        <v>33</v>
      </c>
      <c r="D220" s="57">
        <v>3.0</v>
      </c>
      <c r="E220" s="14"/>
      <c r="F220" s="14"/>
      <c r="G220" s="14"/>
      <c r="H220" s="1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56">
        <v>217.0</v>
      </c>
      <c r="B221" s="56" t="s">
        <v>243</v>
      </c>
      <c r="C221" s="56" t="s">
        <v>33</v>
      </c>
      <c r="D221" s="57">
        <v>3.0</v>
      </c>
      <c r="E221" s="14"/>
      <c r="F221" s="14"/>
      <c r="G221" s="14"/>
      <c r="H221" s="1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6">
        <v>218.0</v>
      </c>
      <c r="B222" s="56" t="s">
        <v>244</v>
      </c>
      <c r="C222" s="56" t="s">
        <v>33</v>
      </c>
      <c r="D222" s="57">
        <v>3.0</v>
      </c>
      <c r="E222" s="14"/>
      <c r="F222" s="14"/>
      <c r="G222" s="14"/>
      <c r="H222" s="1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56">
        <v>219.0</v>
      </c>
      <c r="B223" s="56" t="s">
        <v>245</v>
      </c>
      <c r="C223" s="56" t="s">
        <v>33</v>
      </c>
      <c r="D223" s="57">
        <v>3.0</v>
      </c>
      <c r="E223" s="14"/>
      <c r="F223" s="14"/>
      <c r="G223" s="14"/>
      <c r="H223" s="1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56">
        <v>220.0</v>
      </c>
      <c r="B224" s="56" t="s">
        <v>246</v>
      </c>
      <c r="C224" s="56" t="s">
        <v>33</v>
      </c>
      <c r="D224" s="57">
        <v>3.0</v>
      </c>
      <c r="E224" s="14"/>
      <c r="F224" s="14"/>
      <c r="G224" s="14"/>
      <c r="H224" s="1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6">
        <v>221.0</v>
      </c>
      <c r="B225" s="56" t="s">
        <v>247</v>
      </c>
      <c r="C225" s="56" t="s">
        <v>33</v>
      </c>
      <c r="D225" s="57">
        <v>3.0</v>
      </c>
      <c r="E225" s="14"/>
      <c r="F225" s="14"/>
      <c r="G225" s="14"/>
      <c r="H225" s="1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6">
        <v>222.0</v>
      </c>
      <c r="B226" s="56" t="s">
        <v>248</v>
      </c>
      <c r="C226" s="56" t="s">
        <v>33</v>
      </c>
      <c r="D226" s="57">
        <v>3.0</v>
      </c>
      <c r="E226" s="14"/>
      <c r="F226" s="14"/>
      <c r="G226" s="14"/>
      <c r="H226" s="1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6">
        <v>223.0</v>
      </c>
      <c r="B227" s="56" t="s">
        <v>249</v>
      </c>
      <c r="C227" s="56" t="s">
        <v>33</v>
      </c>
      <c r="D227" s="57">
        <v>3.0</v>
      </c>
      <c r="E227" s="14"/>
      <c r="F227" s="14"/>
      <c r="G227" s="14"/>
      <c r="H227" s="1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6">
        <v>224.0</v>
      </c>
      <c r="B228" s="56" t="s">
        <v>250</v>
      </c>
      <c r="C228" s="56" t="s">
        <v>33</v>
      </c>
      <c r="D228" s="57">
        <v>3.0</v>
      </c>
      <c r="E228" s="14"/>
      <c r="F228" s="14"/>
      <c r="G228" s="14"/>
      <c r="H228" s="1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56">
        <v>225.0</v>
      </c>
      <c r="B229" s="56" t="s">
        <v>251</v>
      </c>
      <c r="C229" s="56" t="s">
        <v>33</v>
      </c>
      <c r="D229" s="57">
        <v>3.0</v>
      </c>
      <c r="E229" s="14"/>
      <c r="F229" s="14"/>
      <c r="G229" s="14"/>
      <c r="H229" s="1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6">
        <v>226.0</v>
      </c>
      <c r="B230" s="56" t="s">
        <v>252</v>
      </c>
      <c r="C230" s="56" t="s">
        <v>33</v>
      </c>
      <c r="D230" s="57">
        <v>3.0</v>
      </c>
      <c r="E230" s="14"/>
      <c r="F230" s="14"/>
      <c r="G230" s="14"/>
      <c r="H230" s="1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6">
        <v>227.0</v>
      </c>
      <c r="B231" s="56" t="s">
        <v>253</v>
      </c>
      <c r="C231" s="56" t="s">
        <v>33</v>
      </c>
      <c r="D231" s="57">
        <v>3.0</v>
      </c>
      <c r="E231" s="14"/>
      <c r="F231" s="14"/>
      <c r="G231" s="14"/>
      <c r="H231" s="1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6">
        <v>228.0</v>
      </c>
      <c r="B232" s="56" t="s">
        <v>254</v>
      </c>
      <c r="C232" s="56" t="s">
        <v>33</v>
      </c>
      <c r="D232" s="57">
        <v>3.0</v>
      </c>
      <c r="E232" s="14"/>
      <c r="F232" s="14"/>
      <c r="G232" s="14"/>
      <c r="H232" s="1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6">
        <v>229.0</v>
      </c>
      <c r="B233" s="56" t="s">
        <v>255</v>
      </c>
      <c r="C233" s="56" t="s">
        <v>33</v>
      </c>
      <c r="D233" s="57">
        <v>3.0</v>
      </c>
      <c r="E233" s="14"/>
      <c r="F233" s="14"/>
      <c r="G233" s="14"/>
      <c r="H233" s="1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56">
        <v>230.0</v>
      </c>
      <c r="B234" s="56" t="s">
        <v>256</v>
      </c>
      <c r="C234" s="56" t="s">
        <v>33</v>
      </c>
      <c r="D234" s="57">
        <v>3.0</v>
      </c>
      <c r="E234" s="14"/>
      <c r="F234" s="14"/>
      <c r="G234" s="14"/>
      <c r="H234" s="1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56">
        <v>231.0</v>
      </c>
      <c r="B235" s="56" t="s">
        <v>257</v>
      </c>
      <c r="C235" s="56" t="s">
        <v>33</v>
      </c>
      <c r="D235" s="57">
        <v>3.0</v>
      </c>
      <c r="E235" s="14"/>
      <c r="F235" s="14"/>
      <c r="G235" s="14"/>
      <c r="H235" s="1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6">
        <v>232.0</v>
      </c>
      <c r="B236" s="56" t="s">
        <v>258</v>
      </c>
      <c r="C236" s="56" t="s">
        <v>33</v>
      </c>
      <c r="D236" s="57">
        <v>3.0</v>
      </c>
      <c r="E236" s="14"/>
      <c r="F236" s="14"/>
      <c r="G236" s="14"/>
      <c r="H236" s="1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6">
        <v>233.0</v>
      </c>
      <c r="B237" s="56" t="s">
        <v>259</v>
      </c>
      <c r="C237" s="56" t="s">
        <v>33</v>
      </c>
      <c r="D237" s="57">
        <v>3.0</v>
      </c>
      <c r="E237" s="14"/>
      <c r="F237" s="14"/>
      <c r="G237" s="14"/>
      <c r="H237" s="1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6">
        <v>234.0</v>
      </c>
      <c r="B238" s="56" t="s">
        <v>260</v>
      </c>
      <c r="C238" s="56" t="s">
        <v>33</v>
      </c>
      <c r="D238" s="57">
        <v>3.0</v>
      </c>
      <c r="E238" s="14"/>
      <c r="F238" s="14"/>
      <c r="G238" s="14"/>
      <c r="H238" s="1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6">
        <v>235.0</v>
      </c>
      <c r="B239" s="56" t="s">
        <v>261</v>
      </c>
      <c r="C239" s="56" t="s">
        <v>33</v>
      </c>
      <c r="D239" s="57">
        <v>3.0</v>
      </c>
      <c r="E239" s="14"/>
      <c r="F239" s="14"/>
      <c r="G239" s="14"/>
      <c r="H239" s="1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6">
        <v>236.0</v>
      </c>
      <c r="B240" s="56" t="s">
        <v>262</v>
      </c>
      <c r="C240" s="56" t="s">
        <v>33</v>
      </c>
      <c r="D240" s="57">
        <v>3.0</v>
      </c>
      <c r="E240" s="14"/>
      <c r="F240" s="14"/>
      <c r="G240" s="14"/>
      <c r="H240" s="1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6">
        <v>237.0</v>
      </c>
      <c r="B241" s="56" t="s">
        <v>263</v>
      </c>
      <c r="C241" s="56" t="s">
        <v>33</v>
      </c>
      <c r="D241" s="57">
        <v>3.0</v>
      </c>
      <c r="E241" s="14"/>
      <c r="F241" s="14"/>
      <c r="G241" s="14"/>
      <c r="H241" s="1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56">
        <v>238.0</v>
      </c>
      <c r="B242" s="56" t="s">
        <v>264</v>
      </c>
      <c r="C242" s="56" t="s">
        <v>33</v>
      </c>
      <c r="D242" s="57">
        <v>3.0</v>
      </c>
      <c r="E242" s="14"/>
      <c r="F242" s="14"/>
      <c r="G242" s="14"/>
      <c r="H242" s="1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56">
        <v>239.0</v>
      </c>
      <c r="B243" s="56" t="s">
        <v>265</v>
      </c>
      <c r="C243" s="56" t="s">
        <v>33</v>
      </c>
      <c r="D243" s="57">
        <v>3.0</v>
      </c>
      <c r="E243" s="14"/>
      <c r="F243" s="14"/>
      <c r="G243" s="14"/>
      <c r="H243" s="1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56">
        <v>240.0</v>
      </c>
      <c r="B244" s="56" t="s">
        <v>266</v>
      </c>
      <c r="C244" s="56" t="s">
        <v>33</v>
      </c>
      <c r="D244" s="57">
        <v>3.0</v>
      </c>
      <c r="E244" s="14"/>
      <c r="F244" s="14"/>
      <c r="G244" s="14"/>
      <c r="H244" s="1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56">
        <v>241.0</v>
      </c>
      <c r="B245" s="56" t="s">
        <v>267</v>
      </c>
      <c r="C245" s="56" t="s">
        <v>33</v>
      </c>
      <c r="D245" s="57">
        <v>3.0</v>
      </c>
      <c r="E245" s="14"/>
      <c r="F245" s="14"/>
      <c r="G245" s="14"/>
      <c r="H245" s="1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56">
        <v>242.0</v>
      </c>
      <c r="B246" s="56" t="s">
        <v>268</v>
      </c>
      <c r="C246" s="56" t="s">
        <v>33</v>
      </c>
      <c r="D246" s="57">
        <v>3.0</v>
      </c>
      <c r="E246" s="14"/>
      <c r="F246" s="14"/>
      <c r="G246" s="14"/>
      <c r="H246" s="1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6">
        <v>243.0</v>
      </c>
      <c r="B247" s="56" t="s">
        <v>269</v>
      </c>
      <c r="C247" s="56" t="s">
        <v>33</v>
      </c>
      <c r="D247" s="57">
        <v>3.0</v>
      </c>
      <c r="E247" s="14"/>
      <c r="F247" s="14"/>
      <c r="G247" s="14"/>
      <c r="H247" s="1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56">
        <v>244.0</v>
      </c>
      <c r="B248" s="56" t="s">
        <v>270</v>
      </c>
      <c r="C248" s="56" t="s">
        <v>24</v>
      </c>
      <c r="D248" s="57">
        <v>4.0</v>
      </c>
      <c r="E248" s="14"/>
      <c r="F248" s="14"/>
      <c r="G248" s="14"/>
      <c r="H248" s="1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56">
        <v>245.0</v>
      </c>
      <c r="B249" s="56" t="s">
        <v>271</v>
      </c>
      <c r="C249" s="56" t="s">
        <v>24</v>
      </c>
      <c r="D249" s="57">
        <v>4.0</v>
      </c>
      <c r="E249" s="14"/>
      <c r="F249" s="14"/>
      <c r="G249" s="14"/>
      <c r="H249" s="1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56">
        <v>246.0</v>
      </c>
      <c r="B250" s="56" t="s">
        <v>272</v>
      </c>
      <c r="C250" s="56" t="s">
        <v>24</v>
      </c>
      <c r="D250" s="57">
        <v>4.0</v>
      </c>
      <c r="E250" s="14"/>
      <c r="F250" s="14"/>
      <c r="G250" s="14"/>
      <c r="H250" s="1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56">
        <v>247.0</v>
      </c>
      <c r="B251" s="56" t="s">
        <v>273</v>
      </c>
      <c r="C251" s="56" t="s">
        <v>24</v>
      </c>
      <c r="D251" s="57">
        <v>4.0</v>
      </c>
      <c r="E251" s="14"/>
      <c r="F251" s="14"/>
      <c r="G251" s="14"/>
      <c r="H251" s="1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56">
        <v>248.0</v>
      </c>
      <c r="B252" s="56" t="s">
        <v>274</v>
      </c>
      <c r="C252" s="56" t="s">
        <v>24</v>
      </c>
      <c r="D252" s="57">
        <v>4.0</v>
      </c>
      <c r="E252" s="14"/>
      <c r="F252" s="14"/>
      <c r="G252" s="14"/>
      <c r="H252" s="1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56">
        <v>249.0</v>
      </c>
      <c r="B253" s="56" t="s">
        <v>275</v>
      </c>
      <c r="C253" s="56" t="s">
        <v>24</v>
      </c>
      <c r="D253" s="57">
        <v>4.0</v>
      </c>
      <c r="E253" s="14"/>
      <c r="F253" s="14"/>
      <c r="G253" s="14"/>
      <c r="H253" s="1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56">
        <v>250.0</v>
      </c>
      <c r="B254" s="56" t="s">
        <v>276</v>
      </c>
      <c r="C254" s="56" t="s">
        <v>33</v>
      </c>
      <c r="D254" s="57">
        <v>4.0</v>
      </c>
      <c r="E254" s="14"/>
      <c r="F254" s="14"/>
      <c r="G254" s="14"/>
      <c r="H254" s="1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56">
        <v>251.0</v>
      </c>
      <c r="B255" s="56" t="s">
        <v>277</v>
      </c>
      <c r="C255" s="56" t="s">
        <v>33</v>
      </c>
      <c r="D255" s="57">
        <v>4.0</v>
      </c>
      <c r="E255" s="14"/>
      <c r="F255" s="14"/>
      <c r="G255" s="14"/>
      <c r="H255" s="1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56">
        <v>252.0</v>
      </c>
      <c r="B256" s="56" t="s">
        <v>278</v>
      </c>
      <c r="C256" s="56" t="s">
        <v>33</v>
      </c>
      <c r="D256" s="57">
        <v>4.0</v>
      </c>
      <c r="E256" s="14"/>
      <c r="F256" s="14"/>
      <c r="G256" s="14"/>
      <c r="H256" s="1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56">
        <v>253.0</v>
      </c>
      <c r="B257" s="56" t="s">
        <v>279</v>
      </c>
      <c r="C257" s="56" t="s">
        <v>33</v>
      </c>
      <c r="D257" s="57">
        <v>4.0</v>
      </c>
      <c r="E257" s="14"/>
      <c r="F257" s="14"/>
      <c r="G257" s="14"/>
      <c r="H257" s="1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56">
        <v>254.0</v>
      </c>
      <c r="B258" s="56" t="s">
        <v>280</v>
      </c>
      <c r="C258" s="56" t="s">
        <v>33</v>
      </c>
      <c r="D258" s="57">
        <v>4.0</v>
      </c>
      <c r="E258" s="14"/>
      <c r="F258" s="14"/>
      <c r="G258" s="14"/>
      <c r="H258" s="1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56">
        <v>255.0</v>
      </c>
      <c r="B259" s="56" t="s">
        <v>281</v>
      </c>
      <c r="C259" s="56" t="s">
        <v>33</v>
      </c>
      <c r="D259" s="57">
        <v>4.0</v>
      </c>
      <c r="E259" s="14"/>
      <c r="F259" s="14"/>
      <c r="G259" s="14"/>
      <c r="H259" s="1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56">
        <v>256.0</v>
      </c>
      <c r="B260" s="56" t="s">
        <v>282</v>
      </c>
      <c r="C260" s="56" t="s">
        <v>33</v>
      </c>
      <c r="D260" s="57">
        <v>4.0</v>
      </c>
      <c r="E260" s="14"/>
      <c r="F260" s="14"/>
      <c r="G260" s="14"/>
      <c r="H260" s="1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56">
        <v>257.0</v>
      </c>
      <c r="B261" s="56" t="s">
        <v>283</v>
      </c>
      <c r="C261" s="56" t="s">
        <v>33</v>
      </c>
      <c r="D261" s="57">
        <v>4.0</v>
      </c>
      <c r="E261" s="14"/>
      <c r="F261" s="14"/>
      <c r="G261" s="14"/>
      <c r="H261" s="1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56">
        <v>258.0</v>
      </c>
      <c r="B262" s="56" t="s">
        <v>284</v>
      </c>
      <c r="C262" s="56" t="s">
        <v>33</v>
      </c>
      <c r="D262" s="57">
        <v>4.0</v>
      </c>
      <c r="E262" s="14"/>
      <c r="F262" s="14"/>
      <c r="G262" s="14"/>
      <c r="H262" s="1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56">
        <v>259.0</v>
      </c>
      <c r="B263" s="56" t="s">
        <v>285</v>
      </c>
      <c r="C263" s="56" t="s">
        <v>33</v>
      </c>
      <c r="D263" s="57">
        <v>4.0</v>
      </c>
      <c r="E263" s="14"/>
      <c r="F263" s="14"/>
      <c r="G263" s="14"/>
      <c r="H263" s="1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56">
        <v>260.0</v>
      </c>
      <c r="B264" s="56" t="s">
        <v>286</v>
      </c>
      <c r="C264" s="56" t="s">
        <v>33</v>
      </c>
      <c r="D264" s="57">
        <v>4.0</v>
      </c>
      <c r="E264" s="14"/>
      <c r="F264" s="14"/>
      <c r="G264" s="14"/>
      <c r="H264" s="1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56">
        <v>261.0</v>
      </c>
      <c r="B265" s="56" t="s">
        <v>287</v>
      </c>
      <c r="C265" s="56" t="s">
        <v>33</v>
      </c>
      <c r="D265" s="57">
        <v>4.0</v>
      </c>
      <c r="E265" s="14"/>
      <c r="F265" s="14"/>
      <c r="G265" s="14"/>
      <c r="H265" s="1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56">
        <v>262.0</v>
      </c>
      <c r="B266" s="56" t="s">
        <v>288</v>
      </c>
      <c r="C266" s="56" t="s">
        <v>33</v>
      </c>
      <c r="D266" s="57">
        <v>4.0</v>
      </c>
      <c r="E266" s="14"/>
      <c r="F266" s="14"/>
      <c r="G266" s="14"/>
      <c r="H266" s="1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56">
        <v>263.0</v>
      </c>
      <c r="B267" s="56" t="s">
        <v>289</v>
      </c>
      <c r="C267" s="56" t="s">
        <v>33</v>
      </c>
      <c r="D267" s="57">
        <v>4.0</v>
      </c>
      <c r="E267" s="14"/>
      <c r="F267" s="14"/>
      <c r="G267" s="14"/>
      <c r="H267" s="1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56">
        <v>264.0</v>
      </c>
      <c r="B268" s="56" t="s">
        <v>290</v>
      </c>
      <c r="C268" s="56" t="s">
        <v>33</v>
      </c>
      <c r="D268" s="57">
        <v>4.0</v>
      </c>
      <c r="E268" s="14"/>
      <c r="F268" s="14"/>
      <c r="G268" s="14"/>
      <c r="H268" s="1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56">
        <v>265.0</v>
      </c>
      <c r="B269" s="56" t="s">
        <v>291</v>
      </c>
      <c r="C269" s="56" t="s">
        <v>33</v>
      </c>
      <c r="D269" s="57">
        <v>4.0</v>
      </c>
      <c r="E269" s="14"/>
      <c r="F269" s="14"/>
      <c r="G269" s="14"/>
      <c r="H269" s="1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56">
        <v>266.0</v>
      </c>
      <c r="B270" s="56" t="s">
        <v>292</v>
      </c>
      <c r="C270" s="56" t="s">
        <v>33</v>
      </c>
      <c r="D270" s="57">
        <v>4.0</v>
      </c>
      <c r="E270" s="14"/>
      <c r="F270" s="14"/>
      <c r="G270" s="14"/>
      <c r="H270" s="1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56">
        <v>267.0</v>
      </c>
      <c r="B271" s="56" t="s">
        <v>293</v>
      </c>
      <c r="C271" s="56" t="s">
        <v>33</v>
      </c>
      <c r="D271" s="57">
        <v>4.0</v>
      </c>
      <c r="E271" s="14"/>
      <c r="F271" s="14"/>
      <c r="G271" s="14"/>
      <c r="H271" s="1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56">
        <v>268.0</v>
      </c>
      <c r="B272" s="56" t="s">
        <v>294</v>
      </c>
      <c r="C272" s="56" t="s">
        <v>33</v>
      </c>
      <c r="D272" s="57">
        <v>4.0</v>
      </c>
      <c r="E272" s="14"/>
      <c r="F272" s="14"/>
      <c r="G272" s="14"/>
      <c r="H272" s="1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56">
        <v>269.0</v>
      </c>
      <c r="B273" s="56" t="s">
        <v>295</v>
      </c>
      <c r="C273" s="56" t="s">
        <v>33</v>
      </c>
      <c r="D273" s="57">
        <v>4.0</v>
      </c>
      <c r="E273" s="14"/>
      <c r="F273" s="14"/>
      <c r="G273" s="14"/>
      <c r="H273" s="1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56">
        <v>270.0</v>
      </c>
      <c r="B274" s="56" t="s">
        <v>296</v>
      </c>
      <c r="C274" s="56" t="s">
        <v>33</v>
      </c>
      <c r="D274" s="57">
        <v>4.0</v>
      </c>
      <c r="E274" s="14"/>
      <c r="F274" s="14"/>
      <c r="G274" s="14"/>
      <c r="H274" s="1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6">
        <v>271.0</v>
      </c>
      <c r="B275" s="56" t="s">
        <v>297</v>
      </c>
      <c r="C275" s="56" t="s">
        <v>33</v>
      </c>
      <c r="D275" s="57">
        <v>4.0</v>
      </c>
      <c r="E275" s="14"/>
      <c r="F275" s="14"/>
      <c r="G275" s="14"/>
      <c r="H275" s="1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56">
        <v>272.0</v>
      </c>
      <c r="B276" s="56" t="s">
        <v>298</v>
      </c>
      <c r="C276" s="56" t="s">
        <v>33</v>
      </c>
      <c r="D276" s="57">
        <v>4.0</v>
      </c>
      <c r="E276" s="14"/>
      <c r="F276" s="14"/>
      <c r="G276" s="14"/>
      <c r="H276" s="1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56">
        <v>273.0</v>
      </c>
      <c r="B277" s="56" t="s">
        <v>299</v>
      </c>
      <c r="C277" s="56" t="s">
        <v>33</v>
      </c>
      <c r="D277" s="57">
        <v>4.0</v>
      </c>
      <c r="E277" s="14"/>
      <c r="F277" s="14"/>
      <c r="G277" s="14"/>
      <c r="H277" s="1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56">
        <v>274.0</v>
      </c>
      <c r="B278" s="56" t="s">
        <v>300</v>
      </c>
      <c r="C278" s="56" t="s">
        <v>33</v>
      </c>
      <c r="D278" s="57">
        <v>4.0</v>
      </c>
      <c r="E278" s="14"/>
      <c r="F278" s="14"/>
      <c r="G278" s="14"/>
      <c r="H278" s="1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56">
        <v>275.0</v>
      </c>
      <c r="B279" s="56" t="s">
        <v>301</v>
      </c>
      <c r="C279" s="56" t="s">
        <v>33</v>
      </c>
      <c r="D279" s="57">
        <v>4.0</v>
      </c>
      <c r="E279" s="14"/>
      <c r="F279" s="14"/>
      <c r="G279" s="14"/>
      <c r="H279" s="1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56">
        <v>276.0</v>
      </c>
      <c r="B280" s="56" t="s">
        <v>302</v>
      </c>
      <c r="C280" s="56" t="s">
        <v>33</v>
      </c>
      <c r="D280" s="57">
        <v>4.0</v>
      </c>
      <c r="E280" s="14"/>
      <c r="F280" s="14"/>
      <c r="G280" s="14"/>
      <c r="H280" s="1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56">
        <v>277.0</v>
      </c>
      <c r="B281" s="56" t="s">
        <v>303</v>
      </c>
      <c r="C281" s="56" t="s">
        <v>33</v>
      </c>
      <c r="D281" s="57">
        <v>4.0</v>
      </c>
      <c r="E281" s="14"/>
      <c r="F281" s="14"/>
      <c r="G281" s="14"/>
      <c r="H281" s="1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56">
        <v>278.0</v>
      </c>
      <c r="B282" s="56" t="s">
        <v>304</v>
      </c>
      <c r="C282" s="56" t="s">
        <v>33</v>
      </c>
      <c r="D282" s="57">
        <v>4.0</v>
      </c>
      <c r="E282" s="14"/>
      <c r="F282" s="14"/>
      <c r="G282" s="14"/>
      <c r="H282" s="1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56">
        <v>279.0</v>
      </c>
      <c r="B283" s="56" t="s">
        <v>305</v>
      </c>
      <c r="C283" s="56" t="s">
        <v>33</v>
      </c>
      <c r="D283" s="57">
        <v>4.0</v>
      </c>
      <c r="E283" s="14"/>
      <c r="F283" s="14"/>
      <c r="G283" s="14"/>
      <c r="H283" s="1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</sheetData>
  <mergeCells count="1">
    <mergeCell ref="A1:H2"/>
  </mergeCells>
  <dataValidations>
    <dataValidation type="list" allowBlank="1" showErrorMessage="1" sqref="G5:G283">
      <formula1>"GCASH,CASH"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7.75"/>
    <col customWidth="1" min="3" max="3" width="21.0"/>
    <col customWidth="1" min="4" max="4" width="8.63"/>
    <col customWidth="1" min="10" max="10" width="19.63"/>
  </cols>
  <sheetData>
    <row r="1">
      <c r="A1" s="47" t="s">
        <v>13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6"/>
      <c r="B3" s="17" t="s">
        <v>14</v>
      </c>
      <c r="C3" s="51">
        <f>SUM(E5:E283)</f>
        <v>108000</v>
      </c>
      <c r="D3" s="16"/>
      <c r="E3" s="19" t="s">
        <v>15</v>
      </c>
      <c r="F3" s="19"/>
      <c r="G3" s="19"/>
      <c r="H3" s="19"/>
      <c r="I3" s="19"/>
      <c r="J3" s="52">
        <f>(279*400)-C3</f>
        <v>3600</v>
      </c>
      <c r="K3" s="19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53" t="s">
        <v>16</v>
      </c>
      <c r="B4" s="53" t="s">
        <v>17</v>
      </c>
      <c r="C4" s="53"/>
      <c r="D4" s="53" t="s">
        <v>19</v>
      </c>
      <c r="E4" s="53" t="s">
        <v>315</v>
      </c>
      <c r="F4" s="54" t="s">
        <v>6</v>
      </c>
      <c r="G4" s="54" t="s">
        <v>316</v>
      </c>
      <c r="H4" s="54" t="s">
        <v>8</v>
      </c>
      <c r="I4" s="54" t="s">
        <v>12</v>
      </c>
      <c r="J4" s="54" t="s">
        <v>21</v>
      </c>
      <c r="K4" s="54" t="s">
        <v>22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5">
        <v>1.0</v>
      </c>
      <c r="B5" s="5" t="s">
        <v>23</v>
      </c>
      <c r="C5" s="5" t="s">
        <v>24</v>
      </c>
      <c r="D5" s="55">
        <v>1.0</v>
      </c>
      <c r="E5" s="5">
        <f>if(SBO!E7=400,0,400)</f>
        <v>400</v>
      </c>
      <c r="F5" s="5"/>
      <c r="G5" s="5"/>
      <c r="H5" s="5"/>
      <c r="I5" s="14"/>
      <c r="J5" s="14"/>
      <c r="K5" s="1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5">
        <v>2.0</v>
      </c>
      <c r="B6" s="5" t="s">
        <v>25</v>
      </c>
      <c r="C6" s="5" t="s">
        <v>24</v>
      </c>
      <c r="D6" s="55">
        <v>1.0</v>
      </c>
      <c r="E6" s="5">
        <f>if(SBO!E8=400,0,400)</f>
        <v>400</v>
      </c>
      <c r="F6" s="14"/>
      <c r="G6" s="14"/>
      <c r="H6" s="14"/>
      <c r="I6" s="14"/>
      <c r="J6" s="14"/>
      <c r="K6" s="1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5">
        <v>3.0</v>
      </c>
      <c r="B7" s="5" t="s">
        <v>26</v>
      </c>
      <c r="C7" s="5" t="s">
        <v>24</v>
      </c>
      <c r="D7" s="55">
        <v>1.0</v>
      </c>
      <c r="E7" s="5">
        <f>if(SBO!E9=400,0,400)</f>
        <v>400</v>
      </c>
      <c r="F7" s="14"/>
      <c r="G7" s="14"/>
      <c r="H7" s="14"/>
      <c r="I7" s="14"/>
      <c r="J7" s="14"/>
      <c r="K7" s="14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5">
        <v>4.0</v>
      </c>
      <c r="B8" s="5" t="s">
        <v>27</v>
      </c>
      <c r="C8" s="5" t="s">
        <v>24</v>
      </c>
      <c r="D8" s="55">
        <v>1.0</v>
      </c>
      <c r="E8" s="5">
        <f>if(SBO!E10=400,0,400)</f>
        <v>400</v>
      </c>
      <c r="F8" s="14"/>
      <c r="G8" s="14"/>
      <c r="H8" s="14"/>
      <c r="I8" s="14"/>
      <c r="J8" s="14"/>
      <c r="K8" s="14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5">
        <v>5.0</v>
      </c>
      <c r="B9" s="5" t="s">
        <v>28</v>
      </c>
      <c r="C9" s="5" t="s">
        <v>24</v>
      </c>
      <c r="D9" s="55">
        <v>1.0</v>
      </c>
      <c r="E9" s="5">
        <f>if(SBO!E11=400,0,400)</f>
        <v>400</v>
      </c>
      <c r="F9" s="14"/>
      <c r="G9" s="14"/>
      <c r="H9" s="14"/>
      <c r="I9" s="14"/>
      <c r="J9" s="14"/>
      <c r="K9" s="14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5">
        <v>6.0</v>
      </c>
      <c r="B10" s="5" t="s">
        <v>29</v>
      </c>
      <c r="C10" s="5" t="s">
        <v>24</v>
      </c>
      <c r="D10" s="55">
        <v>1.0</v>
      </c>
      <c r="E10" s="5">
        <f>if(SBO!E12=400,0,400)</f>
        <v>400</v>
      </c>
      <c r="F10" s="14"/>
      <c r="G10" s="14"/>
      <c r="H10" s="14"/>
      <c r="I10" s="14"/>
      <c r="J10" s="14"/>
      <c r="K10" s="14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5">
        <v>7.0</v>
      </c>
      <c r="B11" s="5" t="s">
        <v>30</v>
      </c>
      <c r="C11" s="5" t="s">
        <v>31</v>
      </c>
      <c r="D11" s="55">
        <v>1.0</v>
      </c>
      <c r="E11" s="5">
        <f>if(SBO!E13=400,0,400)</f>
        <v>400</v>
      </c>
      <c r="F11" s="14"/>
      <c r="G11" s="14"/>
      <c r="H11" s="14"/>
      <c r="I11" s="14"/>
      <c r="J11" s="14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5">
        <v>8.0</v>
      </c>
      <c r="B12" s="5" t="s">
        <v>32</v>
      </c>
      <c r="C12" s="5" t="s">
        <v>33</v>
      </c>
      <c r="D12" s="55">
        <v>1.0</v>
      </c>
      <c r="E12" s="5">
        <f>if(SBO!E14=400,0,400)</f>
        <v>400</v>
      </c>
      <c r="F12" s="14"/>
      <c r="G12" s="14"/>
      <c r="H12" s="14"/>
      <c r="I12" s="14"/>
      <c r="J12" s="14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5">
        <v>9.0</v>
      </c>
      <c r="B13" s="5" t="s">
        <v>34</v>
      </c>
      <c r="C13" s="5" t="s">
        <v>33</v>
      </c>
      <c r="D13" s="55">
        <v>1.0</v>
      </c>
      <c r="E13" s="5">
        <f>if(SBO!E15=400,0,400)</f>
        <v>400</v>
      </c>
      <c r="F13" s="14"/>
      <c r="G13" s="14"/>
      <c r="H13" s="14"/>
      <c r="I13" s="14"/>
      <c r="J13" s="14"/>
      <c r="K13" s="1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5">
        <v>10.0</v>
      </c>
      <c r="B14" s="5" t="s">
        <v>35</v>
      </c>
      <c r="C14" s="5" t="s">
        <v>33</v>
      </c>
      <c r="D14" s="55">
        <v>1.0</v>
      </c>
      <c r="E14" s="5">
        <f>if(SBO!E16=400,0,400)</f>
        <v>400</v>
      </c>
      <c r="F14" s="14"/>
      <c r="G14" s="14"/>
      <c r="H14" s="14"/>
      <c r="I14" s="14"/>
      <c r="J14" s="14"/>
      <c r="K14" s="1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5">
        <v>11.0</v>
      </c>
      <c r="B15" s="5" t="s">
        <v>36</v>
      </c>
      <c r="C15" s="5" t="s">
        <v>33</v>
      </c>
      <c r="D15" s="55">
        <v>1.0</v>
      </c>
      <c r="E15" s="5">
        <f>if(SBO!E17=400,0,400)</f>
        <v>400</v>
      </c>
      <c r="F15" s="14"/>
      <c r="G15" s="14"/>
      <c r="H15" s="14"/>
      <c r="I15" s="14"/>
      <c r="J15" s="14"/>
      <c r="K15" s="14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5">
        <v>12.0</v>
      </c>
      <c r="B16" s="5" t="s">
        <v>37</v>
      </c>
      <c r="C16" s="5" t="s">
        <v>33</v>
      </c>
      <c r="D16" s="55">
        <v>1.0</v>
      </c>
      <c r="E16" s="5">
        <f>if(SBO!E18=400,0,400)</f>
        <v>400</v>
      </c>
      <c r="F16" s="14"/>
      <c r="G16" s="14"/>
      <c r="H16" s="14"/>
      <c r="I16" s="14"/>
      <c r="J16" s="14"/>
      <c r="K16" s="14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5">
        <v>13.0</v>
      </c>
      <c r="B17" s="5" t="s">
        <v>38</v>
      </c>
      <c r="C17" s="5" t="s">
        <v>33</v>
      </c>
      <c r="D17" s="55">
        <v>1.0</v>
      </c>
      <c r="E17" s="5">
        <f>if(SBO!E19=400,0,400)</f>
        <v>400</v>
      </c>
      <c r="F17" s="14"/>
      <c r="G17" s="14"/>
      <c r="H17" s="14"/>
      <c r="I17" s="14"/>
      <c r="J17" s="14"/>
      <c r="K17" s="14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5">
        <v>14.0</v>
      </c>
      <c r="B18" s="5" t="s">
        <v>39</v>
      </c>
      <c r="C18" s="5" t="s">
        <v>33</v>
      </c>
      <c r="D18" s="55">
        <v>1.0</v>
      </c>
      <c r="E18" s="5">
        <f>if(SBO!E20=400,0,400)</f>
        <v>400</v>
      </c>
      <c r="F18" s="14"/>
      <c r="G18" s="14"/>
      <c r="H18" s="14"/>
      <c r="I18" s="14"/>
      <c r="J18" s="14"/>
      <c r="K18" s="14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5">
        <v>15.0</v>
      </c>
      <c r="B19" s="5" t="s">
        <v>40</v>
      </c>
      <c r="C19" s="5" t="s">
        <v>33</v>
      </c>
      <c r="D19" s="55">
        <v>1.0</v>
      </c>
      <c r="E19" s="5">
        <f>if(SBO!E21=400,0,400)</f>
        <v>400</v>
      </c>
      <c r="F19" s="14"/>
      <c r="G19" s="14"/>
      <c r="H19" s="14"/>
      <c r="I19" s="14"/>
      <c r="J19" s="14"/>
      <c r="K19" s="14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5">
        <v>16.0</v>
      </c>
      <c r="B20" s="5" t="s">
        <v>41</v>
      </c>
      <c r="C20" s="5" t="s">
        <v>33</v>
      </c>
      <c r="D20" s="55">
        <v>1.0</v>
      </c>
      <c r="E20" s="5">
        <f>if(SBO!E22=400,0,400)</f>
        <v>0</v>
      </c>
      <c r="F20" s="14"/>
      <c r="G20" s="14"/>
      <c r="H20" s="14"/>
      <c r="I20" s="14"/>
      <c r="J20" s="14"/>
      <c r="K20" s="14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5">
        <v>17.0</v>
      </c>
      <c r="B21" s="5" t="s">
        <v>42</v>
      </c>
      <c r="C21" s="5" t="s">
        <v>33</v>
      </c>
      <c r="D21" s="55">
        <v>1.0</v>
      </c>
      <c r="E21" s="5">
        <f>if(SBO!E23=400,0,400)</f>
        <v>400</v>
      </c>
      <c r="F21" s="14"/>
      <c r="G21" s="14"/>
      <c r="H21" s="14"/>
      <c r="I21" s="14"/>
      <c r="J21" s="5" t="s">
        <v>43</v>
      </c>
      <c r="K21" s="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5">
        <v>18.0</v>
      </c>
      <c r="B22" s="5" t="s">
        <v>44</v>
      </c>
      <c r="C22" s="5" t="s">
        <v>33</v>
      </c>
      <c r="D22" s="55">
        <v>1.0</v>
      </c>
      <c r="E22" s="5">
        <f>if(SBO!E24=400,0,400)</f>
        <v>400</v>
      </c>
      <c r="F22" s="14"/>
      <c r="G22" s="14"/>
      <c r="H22" s="14"/>
      <c r="I22" s="14"/>
      <c r="J22" s="14"/>
      <c r="K22" s="1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5">
        <v>19.0</v>
      </c>
      <c r="B23" s="5" t="s">
        <v>45</v>
      </c>
      <c r="C23" s="5" t="s">
        <v>33</v>
      </c>
      <c r="D23" s="55">
        <v>1.0</v>
      </c>
      <c r="E23" s="5">
        <f>if(SBO!E25=400,0,400)</f>
        <v>400</v>
      </c>
      <c r="F23" s="14"/>
      <c r="G23" s="14"/>
      <c r="H23" s="14"/>
      <c r="I23" s="14"/>
      <c r="J23" s="14"/>
      <c r="K23" s="14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5">
        <v>20.0</v>
      </c>
      <c r="B24" s="5" t="s">
        <v>46</v>
      </c>
      <c r="C24" s="5" t="s">
        <v>33</v>
      </c>
      <c r="D24" s="55">
        <v>1.0</v>
      </c>
      <c r="E24" s="5">
        <f>if(SBO!E26=400,0,400)</f>
        <v>400</v>
      </c>
      <c r="F24" s="14"/>
      <c r="G24" s="14"/>
      <c r="H24" s="14"/>
      <c r="I24" s="14"/>
      <c r="J24" s="14"/>
      <c r="K24" s="14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5">
        <v>21.0</v>
      </c>
      <c r="B25" s="5" t="s">
        <v>47</v>
      </c>
      <c r="C25" s="5" t="s">
        <v>33</v>
      </c>
      <c r="D25" s="55">
        <v>1.0</v>
      </c>
      <c r="E25" s="5">
        <f>if(SBO!E27=400,0,400)</f>
        <v>400</v>
      </c>
      <c r="F25" s="14"/>
      <c r="G25" s="14"/>
      <c r="H25" s="14"/>
      <c r="I25" s="14"/>
      <c r="J25" s="14"/>
      <c r="K25" s="14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5">
        <v>22.0</v>
      </c>
      <c r="B26" s="5" t="s">
        <v>48</v>
      </c>
      <c r="C26" s="5" t="s">
        <v>33</v>
      </c>
      <c r="D26" s="55">
        <v>1.0</v>
      </c>
      <c r="E26" s="5">
        <f>if(SBO!E28=400,0,400)</f>
        <v>400</v>
      </c>
      <c r="F26" s="14"/>
      <c r="G26" s="14"/>
      <c r="H26" s="14"/>
      <c r="I26" s="14"/>
      <c r="J26" s="14"/>
      <c r="K26" s="14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5">
        <v>23.0</v>
      </c>
      <c r="B27" s="5" t="s">
        <v>49</v>
      </c>
      <c r="C27" s="5" t="s">
        <v>33</v>
      </c>
      <c r="D27" s="55">
        <v>1.0</v>
      </c>
      <c r="E27" s="5">
        <f>if(SBO!E29=400,0,400)</f>
        <v>400</v>
      </c>
      <c r="F27" s="14"/>
      <c r="G27" s="14"/>
      <c r="H27" s="14"/>
      <c r="I27" s="14"/>
      <c r="J27" s="14"/>
      <c r="K27" s="14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5">
        <v>24.0</v>
      </c>
      <c r="B28" s="5" t="s">
        <v>50</v>
      </c>
      <c r="C28" s="5" t="s">
        <v>33</v>
      </c>
      <c r="D28" s="55">
        <v>1.0</v>
      </c>
      <c r="E28" s="5">
        <f>if(SBO!E30=400,0,400)</f>
        <v>400</v>
      </c>
      <c r="F28" s="14"/>
      <c r="G28" s="14"/>
      <c r="H28" s="14"/>
      <c r="I28" s="14"/>
      <c r="J28" s="14"/>
      <c r="K28" s="14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5">
        <v>25.0</v>
      </c>
      <c r="B29" s="5" t="s">
        <v>51</v>
      </c>
      <c r="C29" s="5" t="s">
        <v>33</v>
      </c>
      <c r="D29" s="55">
        <v>1.0</v>
      </c>
      <c r="E29" s="5">
        <f>if(SBO!E31=400,0,400)</f>
        <v>400</v>
      </c>
      <c r="F29" s="14"/>
      <c r="G29" s="14"/>
      <c r="H29" s="14"/>
      <c r="I29" s="14"/>
      <c r="J29" s="14"/>
      <c r="K29" s="1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5">
        <v>26.0</v>
      </c>
      <c r="B30" s="5" t="s">
        <v>52</v>
      </c>
      <c r="C30" s="5" t="s">
        <v>33</v>
      </c>
      <c r="D30" s="55">
        <v>1.0</v>
      </c>
      <c r="E30" s="5">
        <f>if(SBO!E32=400,0,400)</f>
        <v>400</v>
      </c>
      <c r="F30" s="14"/>
      <c r="G30" s="14"/>
      <c r="H30" s="14"/>
      <c r="I30" s="14"/>
      <c r="J30" s="14"/>
      <c r="K30" s="14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5">
        <v>27.0</v>
      </c>
      <c r="B31" s="5" t="s">
        <v>53</v>
      </c>
      <c r="C31" s="5" t="s">
        <v>33</v>
      </c>
      <c r="D31" s="55">
        <v>1.0</v>
      </c>
      <c r="E31" s="5">
        <f>if(SBO!E33=400,0,400)</f>
        <v>400</v>
      </c>
      <c r="F31" s="14"/>
      <c r="G31" s="14"/>
      <c r="H31" s="14"/>
      <c r="I31" s="14"/>
      <c r="J31" s="14"/>
      <c r="K31" s="14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5">
        <v>28.0</v>
      </c>
      <c r="B32" s="5" t="s">
        <v>54</v>
      </c>
      <c r="C32" s="5" t="s">
        <v>33</v>
      </c>
      <c r="D32" s="55">
        <v>1.0</v>
      </c>
      <c r="E32" s="5">
        <f>if(SBO!E34=400,0,400)</f>
        <v>400</v>
      </c>
      <c r="F32" s="14"/>
      <c r="G32" s="14"/>
      <c r="H32" s="14"/>
      <c r="I32" s="14"/>
      <c r="J32" s="14"/>
      <c r="K32" s="14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5">
        <v>29.0</v>
      </c>
      <c r="B33" s="5" t="s">
        <v>55</v>
      </c>
      <c r="C33" s="5" t="s">
        <v>33</v>
      </c>
      <c r="D33" s="55">
        <v>1.0</v>
      </c>
      <c r="E33" s="5">
        <f>if(SBO!E35=400,0,400)</f>
        <v>400</v>
      </c>
      <c r="F33" s="14"/>
      <c r="G33" s="14"/>
      <c r="H33" s="14"/>
      <c r="I33" s="14"/>
      <c r="J33" s="14"/>
      <c r="K33" s="14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5">
        <v>30.0</v>
      </c>
      <c r="B34" s="5" t="s">
        <v>56</v>
      </c>
      <c r="C34" s="5" t="s">
        <v>33</v>
      </c>
      <c r="D34" s="55">
        <v>1.0</v>
      </c>
      <c r="E34" s="5">
        <f>if(SBO!E36=400,0,400)</f>
        <v>0</v>
      </c>
      <c r="F34" s="14"/>
      <c r="G34" s="14"/>
      <c r="H34" s="14"/>
      <c r="I34" s="14"/>
      <c r="J34" s="14"/>
      <c r="K34" s="1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5">
        <v>31.0</v>
      </c>
      <c r="B35" s="5" t="s">
        <v>57</v>
      </c>
      <c r="C35" s="5" t="s">
        <v>33</v>
      </c>
      <c r="D35" s="55">
        <v>1.0</v>
      </c>
      <c r="E35" s="5">
        <f>if(SBO!E37=400,0,400)</f>
        <v>400</v>
      </c>
      <c r="F35" s="14"/>
      <c r="G35" s="14"/>
      <c r="H35" s="14"/>
      <c r="I35" s="14"/>
      <c r="J35" s="14"/>
      <c r="K35" s="14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5">
        <v>32.0</v>
      </c>
      <c r="B36" s="5" t="s">
        <v>58</v>
      </c>
      <c r="C36" s="5" t="s">
        <v>33</v>
      </c>
      <c r="D36" s="55">
        <v>1.0</v>
      </c>
      <c r="E36" s="5">
        <f>if(SBO!E38=400,0,400)</f>
        <v>400</v>
      </c>
      <c r="F36" s="14"/>
      <c r="G36" s="14"/>
      <c r="H36" s="14"/>
      <c r="I36" s="14"/>
      <c r="J36" s="14"/>
      <c r="K36" s="1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5">
        <v>33.0</v>
      </c>
      <c r="B37" s="5" t="s">
        <v>59</v>
      </c>
      <c r="C37" s="5" t="s">
        <v>33</v>
      </c>
      <c r="D37" s="55">
        <v>1.0</v>
      </c>
      <c r="E37" s="5">
        <f>if(SBO!E39=400,0,400)</f>
        <v>0</v>
      </c>
      <c r="F37" s="14"/>
      <c r="G37" s="14"/>
      <c r="H37" s="14"/>
      <c r="I37" s="14"/>
      <c r="J37" s="14"/>
      <c r="K37" s="14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5">
        <v>34.0</v>
      </c>
      <c r="B38" s="5" t="s">
        <v>60</v>
      </c>
      <c r="C38" s="5" t="s">
        <v>33</v>
      </c>
      <c r="D38" s="55">
        <v>1.0</v>
      </c>
      <c r="E38" s="5">
        <f>if(SBO!E40=400,0,400)</f>
        <v>400</v>
      </c>
      <c r="F38" s="14"/>
      <c r="G38" s="14"/>
      <c r="H38" s="14"/>
      <c r="I38" s="14"/>
      <c r="J38" s="14"/>
      <c r="K38" s="14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5">
        <v>35.0</v>
      </c>
      <c r="B39" s="5" t="s">
        <v>61</v>
      </c>
      <c r="C39" s="5" t="s">
        <v>33</v>
      </c>
      <c r="D39" s="55">
        <v>1.0</v>
      </c>
      <c r="E39" s="5">
        <f>if(SBO!E41=400,0,400)</f>
        <v>400</v>
      </c>
      <c r="F39" s="14"/>
      <c r="G39" s="14"/>
      <c r="H39" s="14"/>
      <c r="I39" s="14"/>
      <c r="J39" s="14"/>
      <c r="K39" s="14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5">
        <v>36.0</v>
      </c>
      <c r="B40" s="5" t="s">
        <v>62</v>
      </c>
      <c r="C40" s="5" t="s">
        <v>33</v>
      </c>
      <c r="D40" s="55">
        <v>1.0</v>
      </c>
      <c r="E40" s="5">
        <f>if(SBO!E42=400,0,400)</f>
        <v>400</v>
      </c>
      <c r="F40" s="14"/>
      <c r="G40" s="14"/>
      <c r="H40" s="14"/>
      <c r="I40" s="14"/>
      <c r="J40" s="14"/>
      <c r="K40" s="14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5">
        <v>37.0</v>
      </c>
      <c r="B41" s="5" t="s">
        <v>63</v>
      </c>
      <c r="C41" s="5" t="s">
        <v>33</v>
      </c>
      <c r="D41" s="55">
        <v>1.0</v>
      </c>
      <c r="E41" s="5">
        <f>if(SBO!E43=400,0,400)</f>
        <v>400</v>
      </c>
      <c r="F41" s="14"/>
      <c r="G41" s="14"/>
      <c r="H41" s="14"/>
      <c r="I41" s="14"/>
      <c r="J41" s="14"/>
      <c r="K41" s="14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5">
        <v>38.0</v>
      </c>
      <c r="B42" s="5" t="s">
        <v>64</v>
      </c>
      <c r="C42" s="5" t="s">
        <v>33</v>
      </c>
      <c r="D42" s="55">
        <v>1.0</v>
      </c>
      <c r="E42" s="5">
        <f>if(SBO!E44=400,0,400)</f>
        <v>400</v>
      </c>
      <c r="F42" s="14"/>
      <c r="G42" s="14"/>
      <c r="H42" s="14"/>
      <c r="I42" s="14"/>
      <c r="J42" s="14"/>
      <c r="K42" s="14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5">
        <v>39.0</v>
      </c>
      <c r="B43" s="5" t="s">
        <v>65</v>
      </c>
      <c r="C43" s="5" t="s">
        <v>33</v>
      </c>
      <c r="D43" s="55">
        <v>1.0</v>
      </c>
      <c r="E43" s="5">
        <f>if(SBO!E45=400,0,400)</f>
        <v>400</v>
      </c>
      <c r="F43" s="14"/>
      <c r="G43" s="14"/>
      <c r="H43" s="14"/>
      <c r="I43" s="14"/>
      <c r="J43" s="14"/>
      <c r="K43" s="1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5">
        <v>40.0</v>
      </c>
      <c r="B44" s="5" t="s">
        <v>66</v>
      </c>
      <c r="C44" s="5" t="s">
        <v>33</v>
      </c>
      <c r="D44" s="55">
        <v>1.0</v>
      </c>
      <c r="E44" s="5">
        <f>if(SBO!E46=400,0,400)</f>
        <v>400</v>
      </c>
      <c r="F44" s="14"/>
      <c r="G44" s="14"/>
      <c r="H44" s="14"/>
      <c r="I44" s="14"/>
      <c r="J44" s="14"/>
      <c r="K44" s="1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56">
        <v>41.0</v>
      </c>
      <c r="B45" s="56" t="s">
        <v>67</v>
      </c>
      <c r="C45" s="56" t="s">
        <v>33</v>
      </c>
      <c r="D45" s="57">
        <v>1.0</v>
      </c>
      <c r="E45" s="5">
        <f>if(SBO!E47=400,0,400)</f>
        <v>400</v>
      </c>
      <c r="F45" s="14"/>
      <c r="G45" s="14"/>
      <c r="H45" s="14"/>
      <c r="I45" s="14"/>
      <c r="J45" s="14"/>
      <c r="K45" s="1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56">
        <v>42.0</v>
      </c>
      <c r="B46" s="56" t="s">
        <v>68</v>
      </c>
      <c r="C46" s="56" t="s">
        <v>33</v>
      </c>
      <c r="D46" s="57">
        <v>1.0</v>
      </c>
      <c r="E46" s="5">
        <f>if(SBO!E48=400,0,400)</f>
        <v>400</v>
      </c>
      <c r="F46" s="14"/>
      <c r="G46" s="14"/>
      <c r="H46" s="14"/>
      <c r="I46" s="14"/>
      <c r="J46" s="14"/>
      <c r="K46" s="1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56">
        <v>43.0</v>
      </c>
      <c r="B47" s="56" t="s">
        <v>69</v>
      </c>
      <c r="C47" s="56" t="s">
        <v>33</v>
      </c>
      <c r="D47" s="57">
        <v>1.0</v>
      </c>
      <c r="E47" s="5">
        <f>if(SBO!E49=400,0,400)</f>
        <v>400</v>
      </c>
      <c r="F47" s="14"/>
      <c r="G47" s="14"/>
      <c r="H47" s="14"/>
      <c r="I47" s="14"/>
      <c r="J47" s="14"/>
      <c r="K47" s="1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56">
        <v>44.0</v>
      </c>
      <c r="B48" s="56" t="s">
        <v>70</v>
      </c>
      <c r="C48" s="56" t="s">
        <v>33</v>
      </c>
      <c r="D48" s="57">
        <v>1.0</v>
      </c>
      <c r="E48" s="5">
        <f>if(SBO!E50=400,0,400)</f>
        <v>400</v>
      </c>
      <c r="F48" s="14"/>
      <c r="G48" s="14"/>
      <c r="H48" s="14"/>
      <c r="I48" s="14"/>
      <c r="J48" s="14"/>
      <c r="K48" s="1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56">
        <v>45.0</v>
      </c>
      <c r="B49" s="56" t="s">
        <v>71</v>
      </c>
      <c r="C49" s="56" t="s">
        <v>33</v>
      </c>
      <c r="D49" s="57">
        <v>1.0</v>
      </c>
      <c r="E49" s="5">
        <f>if(SBO!E51=400,0,400)</f>
        <v>400</v>
      </c>
      <c r="F49" s="14"/>
      <c r="G49" s="14"/>
      <c r="H49" s="14"/>
      <c r="I49" s="14"/>
      <c r="J49" s="14"/>
      <c r="K49" s="1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56">
        <v>46.0</v>
      </c>
      <c r="B50" s="56" t="s">
        <v>72</v>
      </c>
      <c r="C50" s="56" t="s">
        <v>33</v>
      </c>
      <c r="D50" s="57">
        <v>1.0</v>
      </c>
      <c r="E50" s="5">
        <f>if(SBO!E52=400,0,400)</f>
        <v>0</v>
      </c>
      <c r="F50" s="14"/>
      <c r="G50" s="14"/>
      <c r="H50" s="14"/>
      <c r="I50" s="14"/>
      <c r="J50" s="14"/>
      <c r="K50" s="1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56">
        <v>47.0</v>
      </c>
      <c r="B51" s="56" t="s">
        <v>73</v>
      </c>
      <c r="C51" s="56" t="s">
        <v>33</v>
      </c>
      <c r="D51" s="57">
        <v>1.0</v>
      </c>
      <c r="E51" s="5">
        <f>if(SBO!E53=400,0,400)</f>
        <v>400</v>
      </c>
      <c r="F51" s="14"/>
      <c r="G51" s="14"/>
      <c r="H51" s="14"/>
      <c r="I51" s="14"/>
      <c r="J51" s="14"/>
      <c r="K51" s="1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56">
        <v>48.0</v>
      </c>
      <c r="B52" s="56" t="s">
        <v>74</v>
      </c>
      <c r="C52" s="56" t="s">
        <v>33</v>
      </c>
      <c r="D52" s="57">
        <v>1.0</v>
      </c>
      <c r="E52" s="5">
        <f>if(SBO!E54=400,0,400)</f>
        <v>400</v>
      </c>
      <c r="F52" s="14"/>
      <c r="G52" s="14"/>
      <c r="H52" s="14"/>
      <c r="I52" s="14"/>
      <c r="J52" s="14"/>
      <c r="K52" s="1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56">
        <v>49.0</v>
      </c>
      <c r="B53" s="56" t="s">
        <v>75</v>
      </c>
      <c r="C53" s="56" t="s">
        <v>33</v>
      </c>
      <c r="D53" s="57">
        <v>1.0</v>
      </c>
      <c r="E53" s="5">
        <f>if(SBO!E55=400,0,400)</f>
        <v>400</v>
      </c>
      <c r="F53" s="14"/>
      <c r="G53" s="14"/>
      <c r="H53" s="14"/>
      <c r="I53" s="14"/>
      <c r="J53" s="14"/>
      <c r="K53" s="1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56">
        <v>50.0</v>
      </c>
      <c r="B54" s="56" t="s">
        <v>76</v>
      </c>
      <c r="C54" s="56" t="s">
        <v>33</v>
      </c>
      <c r="D54" s="57">
        <v>1.0</v>
      </c>
      <c r="E54" s="5">
        <f>if(SBO!E56=400,0,400)</f>
        <v>400</v>
      </c>
      <c r="F54" s="14"/>
      <c r="G54" s="14"/>
      <c r="H54" s="14"/>
      <c r="I54" s="14"/>
      <c r="J54" s="14"/>
      <c r="K54" s="1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56">
        <v>51.0</v>
      </c>
      <c r="B55" s="56" t="s">
        <v>77</v>
      </c>
      <c r="C55" s="56" t="s">
        <v>33</v>
      </c>
      <c r="D55" s="57">
        <v>1.0</v>
      </c>
      <c r="E55" s="5">
        <f>if(SBO!E57=400,0,400)</f>
        <v>400</v>
      </c>
      <c r="F55" s="14"/>
      <c r="G55" s="14"/>
      <c r="H55" s="14"/>
      <c r="I55" s="14"/>
      <c r="J55" s="14"/>
      <c r="K55" s="1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56">
        <v>52.0</v>
      </c>
      <c r="B56" s="56" t="s">
        <v>78</v>
      </c>
      <c r="C56" s="56" t="s">
        <v>33</v>
      </c>
      <c r="D56" s="57">
        <v>1.0</v>
      </c>
      <c r="E56" s="5">
        <f>if(SBO!E58=400,0,400)</f>
        <v>400</v>
      </c>
      <c r="F56" s="14"/>
      <c r="G56" s="14"/>
      <c r="H56" s="14"/>
      <c r="I56" s="14"/>
      <c r="J56" s="14"/>
      <c r="K56" s="1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56">
        <v>53.0</v>
      </c>
      <c r="B57" s="56" t="s">
        <v>79</v>
      </c>
      <c r="C57" s="56" t="s">
        <v>33</v>
      </c>
      <c r="D57" s="57">
        <v>1.0</v>
      </c>
      <c r="E57" s="5">
        <f>if(SBO!E59=400,0,400)</f>
        <v>400</v>
      </c>
      <c r="F57" s="14"/>
      <c r="G57" s="14"/>
      <c r="H57" s="14"/>
      <c r="I57" s="14"/>
      <c r="J57" s="14"/>
      <c r="K57" s="1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56">
        <v>54.0</v>
      </c>
      <c r="B58" s="56" t="s">
        <v>80</v>
      </c>
      <c r="C58" s="56" t="s">
        <v>33</v>
      </c>
      <c r="D58" s="57">
        <v>1.0</v>
      </c>
      <c r="E58" s="5">
        <f>if(SBO!E60=400,0,400)</f>
        <v>400</v>
      </c>
      <c r="F58" s="14"/>
      <c r="G58" s="14"/>
      <c r="H58" s="14"/>
      <c r="I58" s="14"/>
      <c r="J58" s="14"/>
      <c r="K58" s="1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56">
        <v>55.0</v>
      </c>
      <c r="B59" s="56" t="s">
        <v>81</v>
      </c>
      <c r="C59" s="56" t="s">
        <v>33</v>
      </c>
      <c r="D59" s="57">
        <v>1.0</v>
      </c>
      <c r="E59" s="5">
        <f>if(SBO!E61=400,0,400)</f>
        <v>400</v>
      </c>
      <c r="F59" s="14"/>
      <c r="G59" s="14"/>
      <c r="H59" s="14"/>
      <c r="I59" s="14"/>
      <c r="J59" s="14"/>
      <c r="K59" s="1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56">
        <v>56.0</v>
      </c>
      <c r="B60" s="56" t="s">
        <v>82</v>
      </c>
      <c r="C60" s="56" t="s">
        <v>33</v>
      </c>
      <c r="D60" s="57">
        <v>1.0</v>
      </c>
      <c r="E60" s="5">
        <f>if(SBO!E62=400,0,400)</f>
        <v>400</v>
      </c>
      <c r="F60" s="14"/>
      <c r="G60" s="14"/>
      <c r="H60" s="14"/>
      <c r="I60" s="14"/>
      <c r="J60" s="14"/>
      <c r="K60" s="1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56">
        <v>57.0</v>
      </c>
      <c r="B61" s="56" t="s">
        <v>83</v>
      </c>
      <c r="C61" s="56" t="s">
        <v>33</v>
      </c>
      <c r="D61" s="57">
        <v>1.0</v>
      </c>
      <c r="E61" s="5">
        <f>if(SBO!E63=400,0,400)</f>
        <v>400</v>
      </c>
      <c r="F61" s="14"/>
      <c r="G61" s="14"/>
      <c r="H61" s="14"/>
      <c r="I61" s="14"/>
      <c r="J61" s="14"/>
      <c r="K61" s="1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56">
        <v>58.0</v>
      </c>
      <c r="B62" s="56" t="s">
        <v>84</v>
      </c>
      <c r="C62" s="56" t="s">
        <v>33</v>
      </c>
      <c r="D62" s="57">
        <v>1.0</v>
      </c>
      <c r="E62" s="5">
        <f>if(SBO!E64=400,0,400)</f>
        <v>400</v>
      </c>
      <c r="F62" s="14"/>
      <c r="G62" s="14"/>
      <c r="H62" s="14"/>
      <c r="I62" s="14"/>
      <c r="J62" s="14"/>
      <c r="K62" s="1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56">
        <v>59.0</v>
      </c>
      <c r="B63" s="56" t="s">
        <v>85</v>
      </c>
      <c r="C63" s="56" t="s">
        <v>33</v>
      </c>
      <c r="D63" s="57">
        <v>1.0</v>
      </c>
      <c r="E63" s="5">
        <f>if(SBO!E65=400,0,400)</f>
        <v>400</v>
      </c>
      <c r="F63" s="14"/>
      <c r="G63" s="14"/>
      <c r="H63" s="14"/>
      <c r="I63" s="14"/>
      <c r="J63" s="14"/>
      <c r="K63" s="1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56">
        <v>60.0</v>
      </c>
      <c r="B64" s="56" t="s">
        <v>86</v>
      </c>
      <c r="C64" s="56" t="s">
        <v>33</v>
      </c>
      <c r="D64" s="57">
        <v>1.0</v>
      </c>
      <c r="E64" s="5">
        <f>if(SBO!E66=400,0,400)</f>
        <v>0</v>
      </c>
      <c r="F64" s="14"/>
      <c r="G64" s="14"/>
      <c r="H64" s="14"/>
      <c r="I64" s="14"/>
      <c r="J64" s="14"/>
      <c r="K64" s="14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56">
        <v>61.0</v>
      </c>
      <c r="B65" s="56" t="s">
        <v>87</v>
      </c>
      <c r="C65" s="56" t="s">
        <v>33</v>
      </c>
      <c r="D65" s="57">
        <v>1.0</v>
      </c>
      <c r="E65" s="5">
        <f>if(SBO!E67=400,0,400)</f>
        <v>0</v>
      </c>
      <c r="F65" s="58"/>
      <c r="G65" s="58"/>
      <c r="H65" s="58"/>
      <c r="I65" s="58"/>
      <c r="J65" s="5" t="s">
        <v>43</v>
      </c>
      <c r="K65" s="5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56">
        <v>62.0</v>
      </c>
      <c r="B66" s="56" t="s">
        <v>88</v>
      </c>
      <c r="C66" s="56" t="s">
        <v>33</v>
      </c>
      <c r="D66" s="57">
        <v>1.0</v>
      </c>
      <c r="E66" s="5">
        <f>if(SBO!E68=400,0,400)</f>
        <v>0</v>
      </c>
      <c r="F66" s="14"/>
      <c r="G66" s="14"/>
      <c r="H66" s="14"/>
      <c r="I66" s="14"/>
      <c r="J66" s="5" t="s">
        <v>43</v>
      </c>
      <c r="K66" s="5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56">
        <v>63.0</v>
      </c>
      <c r="B67" s="56" t="s">
        <v>89</v>
      </c>
      <c r="C67" s="56" t="s">
        <v>33</v>
      </c>
      <c r="D67" s="57">
        <v>1.0</v>
      </c>
      <c r="E67" s="5">
        <f>if(SBO!E69=400,0,400)</f>
        <v>400</v>
      </c>
      <c r="F67" s="14"/>
      <c r="G67" s="14"/>
      <c r="H67" s="14"/>
      <c r="I67" s="14"/>
      <c r="J67" s="5" t="s">
        <v>43</v>
      </c>
      <c r="K67" s="5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56">
        <v>64.0</v>
      </c>
      <c r="B68" s="56" t="s">
        <v>90</v>
      </c>
      <c r="C68" s="56" t="s">
        <v>33</v>
      </c>
      <c r="D68" s="57">
        <v>1.0</v>
      </c>
      <c r="E68" s="5">
        <f>if(SBO!E70=400,0,400)</f>
        <v>400</v>
      </c>
      <c r="F68" s="14"/>
      <c r="G68" s="14"/>
      <c r="H68" s="14"/>
      <c r="I68" s="14"/>
      <c r="J68" s="14"/>
      <c r="K68" s="14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56">
        <v>65.0</v>
      </c>
      <c r="B69" s="56" t="s">
        <v>91</v>
      </c>
      <c r="C69" s="56" t="s">
        <v>33</v>
      </c>
      <c r="D69" s="57">
        <v>1.0</v>
      </c>
      <c r="E69" s="5">
        <f>if(SBO!E71=400,0,400)</f>
        <v>0</v>
      </c>
      <c r="F69" s="14"/>
      <c r="G69" s="14"/>
      <c r="H69" s="14"/>
      <c r="I69" s="14"/>
      <c r="J69" s="14"/>
      <c r="K69" s="14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56">
        <v>66.0</v>
      </c>
      <c r="B70" s="56" t="s">
        <v>92</v>
      </c>
      <c r="C70" s="56" t="s">
        <v>33</v>
      </c>
      <c r="D70" s="57">
        <v>1.0</v>
      </c>
      <c r="E70" s="5">
        <f>if(SBO!E72=400,0,400)</f>
        <v>400</v>
      </c>
      <c r="F70" s="14"/>
      <c r="G70" s="14"/>
      <c r="H70" s="14"/>
      <c r="I70" s="14"/>
      <c r="J70" s="14"/>
      <c r="K70" s="14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56">
        <v>67.0</v>
      </c>
      <c r="B71" s="56" t="s">
        <v>93</v>
      </c>
      <c r="C71" s="56" t="s">
        <v>33</v>
      </c>
      <c r="D71" s="57">
        <v>1.0</v>
      </c>
      <c r="E71" s="5">
        <f>if(SBO!E73=400,0,400)</f>
        <v>400</v>
      </c>
      <c r="F71" s="14"/>
      <c r="G71" s="14"/>
      <c r="H71" s="14"/>
      <c r="I71" s="14"/>
      <c r="J71" s="14"/>
      <c r="K71" s="14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56">
        <v>68.0</v>
      </c>
      <c r="B72" s="56" t="s">
        <v>94</v>
      </c>
      <c r="C72" s="56" t="s">
        <v>33</v>
      </c>
      <c r="D72" s="57">
        <v>1.0</v>
      </c>
      <c r="E72" s="5">
        <f>if(SBO!E74=400,0,400)</f>
        <v>0</v>
      </c>
      <c r="F72" s="14"/>
      <c r="G72" s="14"/>
      <c r="H72" s="14"/>
      <c r="I72" s="14"/>
      <c r="J72" s="14"/>
      <c r="K72" s="14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56">
        <v>69.0</v>
      </c>
      <c r="B73" s="56" t="s">
        <v>95</v>
      </c>
      <c r="C73" s="56" t="s">
        <v>33</v>
      </c>
      <c r="D73" s="57">
        <v>1.0</v>
      </c>
      <c r="E73" s="5">
        <f>if(SBO!E75=400,0,400)</f>
        <v>400</v>
      </c>
      <c r="F73" s="14"/>
      <c r="G73" s="14"/>
      <c r="H73" s="14"/>
      <c r="I73" s="14"/>
      <c r="J73" s="14"/>
      <c r="K73" s="14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56">
        <v>70.0</v>
      </c>
      <c r="B74" s="56" t="s">
        <v>96</v>
      </c>
      <c r="C74" s="56" t="s">
        <v>33</v>
      </c>
      <c r="D74" s="57">
        <v>1.0</v>
      </c>
      <c r="E74" s="5">
        <f>if(SBO!E76=400,0,400)</f>
        <v>400</v>
      </c>
      <c r="F74" s="14"/>
      <c r="G74" s="14"/>
      <c r="H74" s="14"/>
      <c r="I74" s="14"/>
      <c r="J74" s="14"/>
      <c r="K74" s="14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56">
        <v>71.0</v>
      </c>
      <c r="B75" s="56" t="s">
        <v>97</v>
      </c>
      <c r="C75" s="56" t="s">
        <v>33</v>
      </c>
      <c r="D75" s="57">
        <v>1.0</v>
      </c>
      <c r="E75" s="5">
        <f>if(SBO!E77=400,0,400)</f>
        <v>400</v>
      </c>
      <c r="F75" s="14"/>
      <c r="G75" s="14"/>
      <c r="H75" s="14"/>
      <c r="I75" s="14"/>
      <c r="J75" s="14"/>
      <c r="K75" s="14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56">
        <v>72.0</v>
      </c>
      <c r="B76" s="56" t="s">
        <v>98</v>
      </c>
      <c r="C76" s="56" t="s">
        <v>33</v>
      </c>
      <c r="D76" s="57">
        <v>1.0</v>
      </c>
      <c r="E76" s="5">
        <f>if(SBO!E78=400,0,400)</f>
        <v>400</v>
      </c>
      <c r="F76" s="14"/>
      <c r="G76" s="14"/>
      <c r="H76" s="14"/>
      <c r="I76" s="14"/>
      <c r="J76" s="14"/>
      <c r="K76" s="14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56">
        <v>73.0</v>
      </c>
      <c r="B77" s="56" t="s">
        <v>99</v>
      </c>
      <c r="C77" s="56" t="s">
        <v>33</v>
      </c>
      <c r="D77" s="57">
        <v>1.0</v>
      </c>
      <c r="E77" s="5">
        <f>if(SBO!E79=400,0,400)</f>
        <v>400</v>
      </c>
      <c r="F77" s="14"/>
      <c r="G77" s="14"/>
      <c r="H77" s="14"/>
      <c r="I77" s="14"/>
      <c r="J77" s="14"/>
      <c r="K77" s="14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56">
        <v>74.0</v>
      </c>
      <c r="B78" s="56" t="s">
        <v>100</v>
      </c>
      <c r="C78" s="56" t="s">
        <v>33</v>
      </c>
      <c r="D78" s="57">
        <v>1.0</v>
      </c>
      <c r="E78" s="5">
        <f>if(SBO!E80=400,0,400)</f>
        <v>400</v>
      </c>
      <c r="F78" s="14"/>
      <c r="G78" s="14"/>
      <c r="H78" s="14"/>
      <c r="I78" s="14"/>
      <c r="J78" s="14"/>
      <c r="K78" s="14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56">
        <v>75.0</v>
      </c>
      <c r="B79" s="56" t="s">
        <v>101</v>
      </c>
      <c r="C79" s="56" t="s">
        <v>33</v>
      </c>
      <c r="D79" s="57">
        <v>1.0</v>
      </c>
      <c r="E79" s="5">
        <f>if(SBO!E81=400,0,400)</f>
        <v>400</v>
      </c>
      <c r="F79" s="14"/>
      <c r="G79" s="14"/>
      <c r="H79" s="14"/>
      <c r="I79" s="14"/>
      <c r="J79" s="14"/>
      <c r="K79" s="14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56">
        <v>76.0</v>
      </c>
      <c r="B80" s="56" t="s">
        <v>102</v>
      </c>
      <c r="C80" s="56" t="s">
        <v>33</v>
      </c>
      <c r="D80" s="57">
        <v>1.0</v>
      </c>
      <c r="E80" s="5">
        <f>if(SBO!E82=400,0,400)</f>
        <v>400</v>
      </c>
      <c r="F80" s="14"/>
      <c r="G80" s="14"/>
      <c r="H80" s="14"/>
      <c r="I80" s="14"/>
      <c r="J80" s="14"/>
      <c r="K80" s="14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56">
        <v>77.0</v>
      </c>
      <c r="B81" s="56" t="s">
        <v>103</v>
      </c>
      <c r="C81" s="56" t="s">
        <v>33</v>
      </c>
      <c r="D81" s="57">
        <v>1.0</v>
      </c>
      <c r="E81" s="5">
        <f>if(SBO!E83=400,0,400)</f>
        <v>400</v>
      </c>
      <c r="F81" s="14"/>
      <c r="G81" s="14"/>
      <c r="H81" s="14"/>
      <c r="I81" s="14"/>
      <c r="J81" s="14"/>
      <c r="K81" s="14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56">
        <v>78.0</v>
      </c>
      <c r="B82" s="56" t="s">
        <v>104</v>
      </c>
      <c r="C82" s="56" t="s">
        <v>33</v>
      </c>
      <c r="D82" s="57">
        <v>1.0</v>
      </c>
      <c r="E82" s="5">
        <f>if(SBO!E84=400,0,400)</f>
        <v>400</v>
      </c>
      <c r="F82" s="14"/>
      <c r="G82" s="14"/>
      <c r="H82" s="14"/>
      <c r="I82" s="14"/>
      <c r="J82" s="14"/>
      <c r="K82" s="14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56">
        <v>79.0</v>
      </c>
      <c r="B83" s="56" t="s">
        <v>105</v>
      </c>
      <c r="C83" s="56" t="s">
        <v>33</v>
      </c>
      <c r="D83" s="57">
        <v>1.0</v>
      </c>
      <c r="E83" s="5">
        <f>if(SBO!E85=400,0,400)</f>
        <v>400</v>
      </c>
      <c r="F83" s="14"/>
      <c r="G83" s="14"/>
      <c r="H83" s="14"/>
      <c r="I83" s="14"/>
      <c r="J83" s="14"/>
      <c r="K83" s="14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56">
        <v>80.0</v>
      </c>
      <c r="B84" s="56" t="s">
        <v>106</v>
      </c>
      <c r="C84" s="56" t="s">
        <v>33</v>
      </c>
      <c r="D84" s="57">
        <v>1.0</v>
      </c>
      <c r="E84" s="5">
        <f>if(SBO!E86=400,0,400)</f>
        <v>400</v>
      </c>
      <c r="F84" s="14"/>
      <c r="G84" s="14"/>
      <c r="H84" s="14"/>
      <c r="I84" s="14"/>
      <c r="J84" s="14"/>
      <c r="K84" s="14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56">
        <v>81.0</v>
      </c>
      <c r="B85" s="56" t="s">
        <v>107</v>
      </c>
      <c r="C85" s="56" t="s">
        <v>33</v>
      </c>
      <c r="D85" s="57">
        <v>1.0</v>
      </c>
      <c r="E85" s="5">
        <f>if(SBO!E87=400,0,400)</f>
        <v>400</v>
      </c>
      <c r="F85" s="14"/>
      <c r="G85" s="14"/>
      <c r="H85" s="14"/>
      <c r="I85" s="14"/>
      <c r="J85" s="14"/>
      <c r="K85" s="14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56">
        <v>82.0</v>
      </c>
      <c r="B86" s="56" t="s">
        <v>108</v>
      </c>
      <c r="C86" s="56" t="s">
        <v>33</v>
      </c>
      <c r="D86" s="57">
        <v>1.0</v>
      </c>
      <c r="E86" s="5">
        <f>if(SBO!E88=400,0,400)</f>
        <v>400</v>
      </c>
      <c r="F86" s="14"/>
      <c r="G86" s="14"/>
      <c r="H86" s="14"/>
      <c r="I86" s="14"/>
      <c r="J86" s="14"/>
      <c r="K86" s="14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56">
        <v>83.0</v>
      </c>
      <c r="B87" s="56" t="s">
        <v>109</v>
      </c>
      <c r="C87" s="56" t="s">
        <v>33</v>
      </c>
      <c r="D87" s="57">
        <v>1.0</v>
      </c>
      <c r="E87" s="5">
        <f>if(SBO!E89=400,0,400)</f>
        <v>400</v>
      </c>
      <c r="F87" s="14"/>
      <c r="G87" s="14"/>
      <c r="H87" s="14"/>
      <c r="I87" s="14"/>
      <c r="J87" s="14"/>
      <c r="K87" s="14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56">
        <v>84.0</v>
      </c>
      <c r="B88" s="56" t="s">
        <v>110</v>
      </c>
      <c r="C88" s="56" t="s">
        <v>33</v>
      </c>
      <c r="D88" s="57">
        <v>1.0</v>
      </c>
      <c r="E88" s="5">
        <f>if(SBO!E90=400,0,400)</f>
        <v>400</v>
      </c>
      <c r="F88" s="14"/>
      <c r="G88" s="14"/>
      <c r="H88" s="14"/>
      <c r="I88" s="14"/>
      <c r="J88" s="14"/>
      <c r="K88" s="14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56">
        <v>85.0</v>
      </c>
      <c r="B89" s="56" t="s">
        <v>111</v>
      </c>
      <c r="C89" s="56" t="s">
        <v>33</v>
      </c>
      <c r="D89" s="57">
        <v>1.0</v>
      </c>
      <c r="E89" s="5">
        <f>if(SBO!E91=400,0,400)</f>
        <v>400</v>
      </c>
      <c r="F89" s="14"/>
      <c r="G89" s="14"/>
      <c r="H89" s="14"/>
      <c r="I89" s="14"/>
      <c r="J89" s="14"/>
      <c r="K89" s="14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56">
        <v>86.0</v>
      </c>
      <c r="B90" s="56" t="s">
        <v>112</v>
      </c>
      <c r="C90" s="56" t="s">
        <v>33</v>
      </c>
      <c r="D90" s="57">
        <v>1.0</v>
      </c>
      <c r="E90" s="5">
        <f>if(SBO!E92=400,0,400)</f>
        <v>400</v>
      </c>
      <c r="F90" s="14"/>
      <c r="G90" s="14"/>
      <c r="H90" s="14"/>
      <c r="I90" s="14"/>
      <c r="J90" s="14"/>
      <c r="K90" s="14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56">
        <v>87.0</v>
      </c>
      <c r="B91" s="56" t="s">
        <v>113</v>
      </c>
      <c r="C91" s="56" t="s">
        <v>33</v>
      </c>
      <c r="D91" s="57">
        <v>1.0</v>
      </c>
      <c r="E91" s="5">
        <f>if(SBO!E93=400,0,400)</f>
        <v>400</v>
      </c>
      <c r="F91" s="14"/>
      <c r="G91" s="14"/>
      <c r="H91" s="14"/>
      <c r="I91" s="14"/>
      <c r="J91" s="14"/>
      <c r="K91" s="14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56">
        <v>88.0</v>
      </c>
      <c r="B92" s="56" t="s">
        <v>114</v>
      </c>
      <c r="C92" s="56" t="s">
        <v>33</v>
      </c>
      <c r="D92" s="57">
        <v>1.0</v>
      </c>
      <c r="E92" s="5">
        <f>if(SBO!E94=400,0,400)</f>
        <v>400</v>
      </c>
      <c r="F92" s="14"/>
      <c r="G92" s="14"/>
      <c r="H92" s="14"/>
      <c r="I92" s="14"/>
      <c r="J92" s="14"/>
      <c r="K92" s="14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56">
        <v>89.0</v>
      </c>
      <c r="B93" s="56" t="s">
        <v>115</v>
      </c>
      <c r="C93" s="56" t="s">
        <v>33</v>
      </c>
      <c r="D93" s="57">
        <v>1.0</v>
      </c>
      <c r="E93" s="5">
        <f>if(SBO!E95=400,0,400)</f>
        <v>400</v>
      </c>
      <c r="F93" s="14"/>
      <c r="G93" s="14"/>
      <c r="H93" s="14"/>
      <c r="I93" s="14"/>
      <c r="J93" s="14"/>
      <c r="K93" s="14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56">
        <v>90.0</v>
      </c>
      <c r="B94" s="56" t="s">
        <v>116</v>
      </c>
      <c r="C94" s="56" t="s">
        <v>33</v>
      </c>
      <c r="D94" s="57">
        <v>1.0</v>
      </c>
      <c r="E94" s="5">
        <f>if(SBO!E96=400,0,400)</f>
        <v>400</v>
      </c>
      <c r="F94" s="14"/>
      <c r="G94" s="14"/>
      <c r="H94" s="14"/>
      <c r="I94" s="14"/>
      <c r="J94" s="14"/>
      <c r="K94" s="14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56">
        <v>91.0</v>
      </c>
      <c r="B95" s="56" t="s">
        <v>117</v>
      </c>
      <c r="C95" s="56" t="s">
        <v>33</v>
      </c>
      <c r="D95" s="57">
        <v>1.0</v>
      </c>
      <c r="E95" s="5">
        <f>if(SBO!E97=400,0,400)</f>
        <v>400</v>
      </c>
      <c r="F95" s="14"/>
      <c r="G95" s="14"/>
      <c r="H95" s="14"/>
      <c r="I95" s="14"/>
      <c r="J95" s="14"/>
      <c r="K95" s="14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56">
        <v>92.0</v>
      </c>
      <c r="B96" s="56" t="s">
        <v>118</v>
      </c>
      <c r="C96" s="56" t="s">
        <v>33</v>
      </c>
      <c r="D96" s="57">
        <v>1.0</v>
      </c>
      <c r="E96" s="5">
        <f>if(SBO!E98=400,0,400)</f>
        <v>400</v>
      </c>
      <c r="F96" s="14"/>
      <c r="G96" s="14"/>
      <c r="H96" s="14"/>
      <c r="I96" s="14"/>
      <c r="J96" s="14"/>
      <c r="K96" s="14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56">
        <v>93.0</v>
      </c>
      <c r="B97" s="56" t="s">
        <v>119</v>
      </c>
      <c r="C97" s="56" t="s">
        <v>33</v>
      </c>
      <c r="D97" s="57">
        <v>1.0</v>
      </c>
      <c r="E97" s="5">
        <f>if(SBO!E99=400,0,400)</f>
        <v>400</v>
      </c>
      <c r="F97" s="14"/>
      <c r="G97" s="14"/>
      <c r="H97" s="14"/>
      <c r="I97" s="14"/>
      <c r="J97" s="14"/>
      <c r="K97" s="14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56">
        <v>94.0</v>
      </c>
      <c r="B98" s="56" t="s">
        <v>120</v>
      </c>
      <c r="C98" s="56" t="s">
        <v>33</v>
      </c>
      <c r="D98" s="57">
        <v>1.0</v>
      </c>
      <c r="E98" s="5">
        <f>if(SBO!E100=400,0,400)</f>
        <v>400</v>
      </c>
      <c r="F98" s="14"/>
      <c r="G98" s="14"/>
      <c r="H98" s="14"/>
      <c r="I98" s="14"/>
      <c r="J98" s="14"/>
      <c r="K98" s="14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56">
        <v>95.0</v>
      </c>
      <c r="B99" s="56" t="s">
        <v>121</v>
      </c>
      <c r="C99" s="56" t="s">
        <v>33</v>
      </c>
      <c r="D99" s="57">
        <v>1.0</v>
      </c>
      <c r="E99" s="5">
        <f>if(SBO!E101=400,0,400)</f>
        <v>400</v>
      </c>
      <c r="F99" s="14"/>
      <c r="G99" s="14"/>
      <c r="H99" s="14"/>
      <c r="I99" s="14"/>
      <c r="J99" s="14"/>
      <c r="K99" s="14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56">
        <v>96.0</v>
      </c>
      <c r="B100" s="56" t="s">
        <v>122</v>
      </c>
      <c r="C100" s="56" t="s">
        <v>33</v>
      </c>
      <c r="D100" s="57">
        <v>1.0</v>
      </c>
      <c r="E100" s="5">
        <f>if(SBO!E102=400,0,400)</f>
        <v>400</v>
      </c>
      <c r="F100" s="14"/>
      <c r="G100" s="14"/>
      <c r="H100" s="14"/>
      <c r="I100" s="14"/>
      <c r="J100" s="14"/>
      <c r="K100" s="14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56">
        <v>97.0</v>
      </c>
      <c r="B101" s="56" t="s">
        <v>123</v>
      </c>
      <c r="C101" s="56" t="s">
        <v>33</v>
      </c>
      <c r="D101" s="57">
        <v>1.0</v>
      </c>
      <c r="E101" s="5">
        <f>if(SBO!E103=400,0,400)</f>
        <v>400</v>
      </c>
      <c r="F101" s="14"/>
      <c r="G101" s="14"/>
      <c r="H101" s="14"/>
      <c r="I101" s="14"/>
      <c r="J101" s="14"/>
      <c r="K101" s="14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56">
        <v>98.0</v>
      </c>
      <c r="B102" s="56" t="s">
        <v>124</v>
      </c>
      <c r="C102" s="56" t="s">
        <v>33</v>
      </c>
      <c r="D102" s="57">
        <v>1.0</v>
      </c>
      <c r="E102" s="5">
        <f>if(SBO!E104=400,0,400)</f>
        <v>400</v>
      </c>
      <c r="F102" s="14"/>
      <c r="G102" s="14"/>
      <c r="H102" s="14"/>
      <c r="I102" s="14"/>
      <c r="J102" s="14"/>
      <c r="K102" s="14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56">
        <v>99.0</v>
      </c>
      <c r="B103" s="56" t="s">
        <v>125</v>
      </c>
      <c r="C103" s="56" t="s">
        <v>33</v>
      </c>
      <c r="D103" s="57">
        <v>1.0</v>
      </c>
      <c r="E103" s="5">
        <f>if(SBO!E105=400,0,400)</f>
        <v>400</v>
      </c>
      <c r="F103" s="14"/>
      <c r="G103" s="14"/>
      <c r="H103" s="14"/>
      <c r="I103" s="14"/>
      <c r="J103" s="14"/>
      <c r="K103" s="14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56">
        <v>100.0</v>
      </c>
      <c r="B104" s="56" t="s">
        <v>126</v>
      </c>
      <c r="C104" s="56" t="s">
        <v>33</v>
      </c>
      <c r="D104" s="57">
        <v>1.0</v>
      </c>
      <c r="E104" s="5">
        <f>if(SBO!E106=400,0,400)</f>
        <v>400</v>
      </c>
      <c r="F104" s="14"/>
      <c r="G104" s="14"/>
      <c r="H104" s="14"/>
      <c r="I104" s="14"/>
      <c r="J104" s="14"/>
      <c r="K104" s="14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56">
        <v>101.0</v>
      </c>
      <c r="B105" s="56" t="s">
        <v>127</v>
      </c>
      <c r="C105" s="56" t="s">
        <v>33</v>
      </c>
      <c r="D105" s="57">
        <v>1.0</v>
      </c>
      <c r="E105" s="5">
        <f>if(SBO!E107=400,0,400)</f>
        <v>400</v>
      </c>
      <c r="F105" s="14"/>
      <c r="G105" s="14"/>
      <c r="H105" s="14"/>
      <c r="I105" s="14"/>
      <c r="J105" s="14"/>
      <c r="K105" s="14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56">
        <v>102.0</v>
      </c>
      <c r="B106" s="56" t="s">
        <v>128</v>
      </c>
      <c r="C106" s="56" t="s">
        <v>33</v>
      </c>
      <c r="D106" s="57">
        <v>1.0</v>
      </c>
      <c r="E106" s="5">
        <f>if(SBO!E108=400,0,400)</f>
        <v>400</v>
      </c>
      <c r="F106" s="14"/>
      <c r="G106" s="14"/>
      <c r="H106" s="14"/>
      <c r="I106" s="14"/>
      <c r="J106" s="14"/>
      <c r="K106" s="14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56">
        <v>103.0</v>
      </c>
      <c r="B107" s="56" t="s">
        <v>129</v>
      </c>
      <c r="C107" s="56" t="s">
        <v>33</v>
      </c>
      <c r="D107" s="57">
        <v>1.0</v>
      </c>
      <c r="E107" s="5">
        <f>if(SBO!E109=400,0,400)</f>
        <v>400</v>
      </c>
      <c r="F107" s="14"/>
      <c r="G107" s="14"/>
      <c r="H107" s="14"/>
      <c r="I107" s="14"/>
      <c r="J107" s="14"/>
      <c r="K107" s="14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56">
        <v>104.0</v>
      </c>
      <c r="B108" s="56" t="s">
        <v>130</v>
      </c>
      <c r="C108" s="56" t="s">
        <v>33</v>
      </c>
      <c r="D108" s="57">
        <v>1.0</v>
      </c>
      <c r="E108" s="5">
        <f>if(SBO!E110=400,0,400)</f>
        <v>400</v>
      </c>
      <c r="F108" s="14"/>
      <c r="G108" s="14"/>
      <c r="H108" s="14"/>
      <c r="I108" s="14"/>
      <c r="J108" s="14"/>
      <c r="K108" s="14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56">
        <v>105.0</v>
      </c>
      <c r="B109" s="56" t="s">
        <v>131</v>
      </c>
      <c r="C109" s="56" t="s">
        <v>33</v>
      </c>
      <c r="D109" s="57">
        <v>1.0</v>
      </c>
      <c r="E109" s="5">
        <f>if(SBO!E111=400,0,400)</f>
        <v>400</v>
      </c>
      <c r="F109" s="14"/>
      <c r="G109" s="14"/>
      <c r="H109" s="14"/>
      <c r="I109" s="14"/>
      <c r="J109" s="14"/>
      <c r="K109" s="14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56">
        <v>106.0</v>
      </c>
      <c r="B110" s="56" t="s">
        <v>132</v>
      </c>
      <c r="C110" s="56" t="s">
        <v>31</v>
      </c>
      <c r="D110" s="57">
        <v>2.0</v>
      </c>
      <c r="E110" s="5">
        <f>if(SBO!E112=400,0,400)</f>
        <v>400</v>
      </c>
      <c r="F110" s="14"/>
      <c r="G110" s="14"/>
      <c r="H110" s="14"/>
      <c r="I110" s="14"/>
      <c r="J110" s="14"/>
      <c r="K110" s="14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56">
        <v>107.0</v>
      </c>
      <c r="B111" s="56" t="s">
        <v>133</v>
      </c>
      <c r="C111" s="56" t="s">
        <v>31</v>
      </c>
      <c r="D111" s="57">
        <v>2.0</v>
      </c>
      <c r="E111" s="5">
        <f>if(SBO!E113=400,0,400)</f>
        <v>400</v>
      </c>
      <c r="F111" s="14"/>
      <c r="G111" s="14"/>
      <c r="H111" s="14"/>
      <c r="I111" s="14"/>
      <c r="J111" s="14"/>
      <c r="K111" s="14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56">
        <v>108.0</v>
      </c>
      <c r="B112" s="56" t="s">
        <v>134</v>
      </c>
      <c r="C112" s="56" t="s">
        <v>31</v>
      </c>
      <c r="D112" s="57">
        <v>2.0</v>
      </c>
      <c r="E112" s="5">
        <f>if(SBO!E114=400,0,400)</f>
        <v>400</v>
      </c>
      <c r="F112" s="14"/>
      <c r="G112" s="14"/>
      <c r="H112" s="14"/>
      <c r="I112" s="14"/>
      <c r="J112" s="14"/>
      <c r="K112" s="14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56">
        <v>109.0</v>
      </c>
      <c r="B113" s="56" t="s">
        <v>135</v>
      </c>
      <c r="C113" s="56" t="s">
        <v>31</v>
      </c>
      <c r="D113" s="57">
        <v>2.0</v>
      </c>
      <c r="E113" s="5">
        <f>if(SBO!E115=400,0,400)</f>
        <v>400</v>
      </c>
      <c r="F113" s="14"/>
      <c r="G113" s="14"/>
      <c r="H113" s="14"/>
      <c r="I113" s="14"/>
      <c r="J113" s="14"/>
      <c r="K113" s="1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56">
        <v>110.0</v>
      </c>
      <c r="B114" s="56" t="s">
        <v>136</v>
      </c>
      <c r="C114" s="56" t="s">
        <v>31</v>
      </c>
      <c r="D114" s="57">
        <v>2.0</v>
      </c>
      <c r="E114" s="5">
        <f>if(SBO!E116=400,0,400)</f>
        <v>400</v>
      </c>
      <c r="F114" s="14"/>
      <c r="G114" s="14"/>
      <c r="H114" s="14"/>
      <c r="I114" s="14"/>
      <c r="J114" s="14"/>
      <c r="K114" s="14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56">
        <v>111.0</v>
      </c>
      <c r="B115" s="56" t="s">
        <v>137</v>
      </c>
      <c r="C115" s="56" t="s">
        <v>31</v>
      </c>
      <c r="D115" s="57">
        <v>2.0</v>
      </c>
      <c r="E115" s="5">
        <f>if(SBO!E117=400,0,400)</f>
        <v>400</v>
      </c>
      <c r="F115" s="14"/>
      <c r="G115" s="14"/>
      <c r="H115" s="14"/>
      <c r="I115" s="14"/>
      <c r="J115" s="14"/>
      <c r="K115" s="14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56">
        <v>112.0</v>
      </c>
      <c r="B116" s="56" t="s">
        <v>138</v>
      </c>
      <c r="C116" s="56" t="s">
        <v>33</v>
      </c>
      <c r="D116" s="57">
        <v>2.0</v>
      </c>
      <c r="E116" s="5">
        <f>if(SBO!E118=400,0,400)</f>
        <v>400</v>
      </c>
      <c r="F116" s="14"/>
      <c r="G116" s="14"/>
      <c r="H116" s="14"/>
      <c r="I116" s="14"/>
      <c r="J116" s="14"/>
      <c r="K116" s="14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56">
        <v>113.0</v>
      </c>
      <c r="B117" s="56" t="s">
        <v>139</v>
      </c>
      <c r="C117" s="56" t="s">
        <v>33</v>
      </c>
      <c r="D117" s="57">
        <v>2.0</v>
      </c>
      <c r="E117" s="5">
        <f>if(SBO!E119=400,0,400)</f>
        <v>400</v>
      </c>
      <c r="F117" s="14"/>
      <c r="G117" s="14"/>
      <c r="H117" s="14"/>
      <c r="I117" s="14"/>
      <c r="J117" s="14"/>
      <c r="K117" s="14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56">
        <v>114.0</v>
      </c>
      <c r="B118" s="56" t="s">
        <v>140</v>
      </c>
      <c r="C118" s="56" t="s">
        <v>33</v>
      </c>
      <c r="D118" s="57">
        <v>2.0</v>
      </c>
      <c r="E118" s="5">
        <f>if(SBO!E120=400,0,400)</f>
        <v>400</v>
      </c>
      <c r="F118" s="14"/>
      <c r="G118" s="14"/>
      <c r="H118" s="14"/>
      <c r="I118" s="14"/>
      <c r="J118" s="14"/>
      <c r="K118" s="14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56">
        <v>115.0</v>
      </c>
      <c r="B119" s="56" t="s">
        <v>141</v>
      </c>
      <c r="C119" s="56" t="s">
        <v>33</v>
      </c>
      <c r="D119" s="57">
        <v>2.0</v>
      </c>
      <c r="E119" s="5">
        <f>if(SBO!E121=400,0,400)</f>
        <v>400</v>
      </c>
      <c r="F119" s="14"/>
      <c r="G119" s="14"/>
      <c r="H119" s="14"/>
      <c r="I119" s="14"/>
      <c r="J119" s="14"/>
      <c r="K119" s="14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56">
        <v>116.0</v>
      </c>
      <c r="B120" s="56" t="s">
        <v>142</v>
      </c>
      <c r="C120" s="56" t="s">
        <v>33</v>
      </c>
      <c r="D120" s="57">
        <v>2.0</v>
      </c>
      <c r="E120" s="5">
        <f>if(SBO!E122=400,0,400)</f>
        <v>400</v>
      </c>
      <c r="F120" s="14"/>
      <c r="G120" s="14"/>
      <c r="H120" s="14"/>
      <c r="I120" s="14"/>
      <c r="J120" s="14"/>
      <c r="K120" s="14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56">
        <v>117.0</v>
      </c>
      <c r="B121" s="56" t="s">
        <v>143</v>
      </c>
      <c r="C121" s="56" t="s">
        <v>33</v>
      </c>
      <c r="D121" s="57">
        <v>2.0</v>
      </c>
      <c r="E121" s="5">
        <f>if(SBO!E123=400,0,400)</f>
        <v>400</v>
      </c>
      <c r="F121" s="14"/>
      <c r="G121" s="14"/>
      <c r="H121" s="14"/>
      <c r="I121" s="14"/>
      <c r="J121" s="14"/>
      <c r="K121" s="14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56">
        <v>118.0</v>
      </c>
      <c r="B122" s="56" t="s">
        <v>144</v>
      </c>
      <c r="C122" s="56" t="s">
        <v>33</v>
      </c>
      <c r="D122" s="57">
        <v>2.0</v>
      </c>
      <c r="E122" s="5">
        <f>if(SBO!E124=400,0,400)</f>
        <v>400</v>
      </c>
      <c r="F122" s="14"/>
      <c r="G122" s="14"/>
      <c r="H122" s="14"/>
      <c r="I122" s="14"/>
      <c r="J122" s="14"/>
      <c r="K122" s="14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56">
        <v>119.0</v>
      </c>
      <c r="B123" s="56" t="s">
        <v>145</v>
      </c>
      <c r="C123" s="56" t="s">
        <v>33</v>
      </c>
      <c r="D123" s="57">
        <v>2.0</v>
      </c>
      <c r="E123" s="5">
        <f>if(SBO!E125=400,0,400)</f>
        <v>400</v>
      </c>
      <c r="F123" s="14"/>
      <c r="G123" s="14"/>
      <c r="H123" s="14"/>
      <c r="I123" s="14"/>
      <c r="J123" s="14"/>
      <c r="K123" s="14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56">
        <v>120.0</v>
      </c>
      <c r="B124" s="56" t="s">
        <v>146</v>
      </c>
      <c r="C124" s="56" t="s">
        <v>33</v>
      </c>
      <c r="D124" s="57">
        <v>2.0</v>
      </c>
      <c r="E124" s="5">
        <f>if(SBO!E126=400,0,400)</f>
        <v>400</v>
      </c>
      <c r="F124" s="14"/>
      <c r="G124" s="14"/>
      <c r="H124" s="14"/>
      <c r="I124" s="14"/>
      <c r="J124" s="14"/>
      <c r="K124" s="14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56">
        <v>121.0</v>
      </c>
      <c r="B125" s="56" t="s">
        <v>147</v>
      </c>
      <c r="C125" s="56" t="s">
        <v>33</v>
      </c>
      <c r="D125" s="57">
        <v>2.0</v>
      </c>
      <c r="E125" s="5">
        <f>if(SBO!E127=400,0,400)</f>
        <v>400</v>
      </c>
      <c r="F125" s="14"/>
      <c r="G125" s="14"/>
      <c r="H125" s="14"/>
      <c r="I125" s="14"/>
      <c r="J125" s="14"/>
      <c r="K125" s="14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56">
        <v>122.0</v>
      </c>
      <c r="B126" s="56" t="s">
        <v>148</v>
      </c>
      <c r="C126" s="56" t="s">
        <v>33</v>
      </c>
      <c r="D126" s="57">
        <v>2.0</v>
      </c>
      <c r="E126" s="5">
        <f>if(SBO!E128=400,0,400)</f>
        <v>400</v>
      </c>
      <c r="F126" s="14"/>
      <c r="G126" s="14"/>
      <c r="H126" s="14"/>
      <c r="I126" s="14"/>
      <c r="J126" s="14"/>
      <c r="K126" s="14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56">
        <v>123.0</v>
      </c>
      <c r="B127" s="56" t="s">
        <v>149</v>
      </c>
      <c r="C127" s="56" t="s">
        <v>33</v>
      </c>
      <c r="D127" s="57">
        <v>2.0</v>
      </c>
      <c r="E127" s="5">
        <f>if(SBO!E129=400,0,400)</f>
        <v>400</v>
      </c>
      <c r="F127" s="14"/>
      <c r="G127" s="14"/>
      <c r="H127" s="14"/>
      <c r="I127" s="14"/>
      <c r="J127" s="14"/>
      <c r="K127" s="14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56">
        <v>124.0</v>
      </c>
      <c r="B128" s="56" t="s">
        <v>150</v>
      </c>
      <c r="C128" s="56" t="s">
        <v>33</v>
      </c>
      <c r="D128" s="57">
        <v>2.0</v>
      </c>
      <c r="E128" s="5">
        <f>if(SBO!E130=400,0,400)</f>
        <v>400</v>
      </c>
      <c r="F128" s="14"/>
      <c r="G128" s="14"/>
      <c r="H128" s="14"/>
      <c r="I128" s="14"/>
      <c r="J128" s="14"/>
      <c r="K128" s="14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56">
        <v>125.0</v>
      </c>
      <c r="B129" s="56" t="s">
        <v>151</v>
      </c>
      <c r="C129" s="56" t="s">
        <v>33</v>
      </c>
      <c r="D129" s="57">
        <v>2.0</v>
      </c>
      <c r="E129" s="5">
        <f>if(SBO!E131=400,0,400)</f>
        <v>400</v>
      </c>
      <c r="F129" s="14"/>
      <c r="G129" s="14"/>
      <c r="H129" s="14"/>
      <c r="I129" s="14"/>
      <c r="J129" s="14"/>
      <c r="K129" s="14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56">
        <v>126.0</v>
      </c>
      <c r="B130" s="56" t="s">
        <v>152</v>
      </c>
      <c r="C130" s="56" t="s">
        <v>33</v>
      </c>
      <c r="D130" s="57">
        <v>2.0</v>
      </c>
      <c r="E130" s="5">
        <f>if(SBO!E132=400,0,400)</f>
        <v>400</v>
      </c>
      <c r="F130" s="14"/>
      <c r="G130" s="14"/>
      <c r="H130" s="14"/>
      <c r="I130" s="14"/>
      <c r="J130" s="14"/>
      <c r="K130" s="14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56">
        <v>127.0</v>
      </c>
      <c r="B131" s="56" t="s">
        <v>153</v>
      </c>
      <c r="C131" s="56" t="s">
        <v>33</v>
      </c>
      <c r="D131" s="57">
        <v>2.0</v>
      </c>
      <c r="E131" s="5">
        <f>if(SBO!E133=400,0,400)</f>
        <v>400</v>
      </c>
      <c r="F131" s="14"/>
      <c r="G131" s="14"/>
      <c r="H131" s="14"/>
      <c r="I131" s="14"/>
      <c r="J131" s="14"/>
      <c r="K131" s="14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56">
        <v>128.0</v>
      </c>
      <c r="B132" s="56" t="s">
        <v>154</v>
      </c>
      <c r="C132" s="56" t="s">
        <v>33</v>
      </c>
      <c r="D132" s="57">
        <v>2.0</v>
      </c>
      <c r="E132" s="5">
        <f>if(SBO!E134=400,0,400)</f>
        <v>400</v>
      </c>
      <c r="F132" s="14"/>
      <c r="G132" s="14"/>
      <c r="H132" s="14"/>
      <c r="I132" s="14"/>
      <c r="J132" s="14"/>
      <c r="K132" s="14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56">
        <v>129.0</v>
      </c>
      <c r="B133" s="56" t="s">
        <v>155</v>
      </c>
      <c r="C133" s="56" t="s">
        <v>33</v>
      </c>
      <c r="D133" s="57">
        <v>2.0</v>
      </c>
      <c r="E133" s="5">
        <f>if(SBO!E135=400,0,400)</f>
        <v>400</v>
      </c>
      <c r="F133" s="14"/>
      <c r="G133" s="14"/>
      <c r="H133" s="14"/>
      <c r="I133" s="14"/>
      <c r="J133" s="14"/>
      <c r="K133" s="14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56">
        <v>130.0</v>
      </c>
      <c r="B134" s="56" t="s">
        <v>156</v>
      </c>
      <c r="C134" s="56" t="s">
        <v>33</v>
      </c>
      <c r="D134" s="57">
        <v>2.0</v>
      </c>
      <c r="E134" s="5">
        <f>if(SBO!E136=400,0,400)</f>
        <v>400</v>
      </c>
      <c r="F134" s="14"/>
      <c r="G134" s="14"/>
      <c r="H134" s="14"/>
      <c r="I134" s="14"/>
      <c r="J134" s="14"/>
      <c r="K134" s="14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56">
        <v>131.0</v>
      </c>
      <c r="B135" s="56" t="s">
        <v>157</v>
      </c>
      <c r="C135" s="56" t="s">
        <v>33</v>
      </c>
      <c r="D135" s="57">
        <v>2.0</v>
      </c>
      <c r="E135" s="5">
        <f>if(SBO!E137=400,0,400)</f>
        <v>400</v>
      </c>
      <c r="F135" s="14"/>
      <c r="G135" s="14"/>
      <c r="H135" s="14"/>
      <c r="I135" s="14"/>
      <c r="J135" s="14"/>
      <c r="K135" s="14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56">
        <v>132.0</v>
      </c>
      <c r="B136" s="56" t="s">
        <v>158</v>
      </c>
      <c r="C136" s="56" t="s">
        <v>33</v>
      </c>
      <c r="D136" s="57">
        <v>2.0</v>
      </c>
      <c r="E136" s="5">
        <f>if(SBO!E138=400,0,400)</f>
        <v>400</v>
      </c>
      <c r="F136" s="14"/>
      <c r="G136" s="14"/>
      <c r="H136" s="14"/>
      <c r="I136" s="14"/>
      <c r="J136" s="14"/>
      <c r="K136" s="14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56">
        <v>133.0</v>
      </c>
      <c r="B137" s="56" t="s">
        <v>159</v>
      </c>
      <c r="C137" s="56" t="s">
        <v>33</v>
      </c>
      <c r="D137" s="57">
        <v>2.0</v>
      </c>
      <c r="E137" s="5">
        <f>if(SBO!E139=400,0,400)</f>
        <v>400</v>
      </c>
      <c r="F137" s="14"/>
      <c r="G137" s="14"/>
      <c r="H137" s="14"/>
      <c r="I137" s="14"/>
      <c r="J137" s="14"/>
      <c r="K137" s="14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56">
        <v>134.0</v>
      </c>
      <c r="B138" s="56" t="s">
        <v>160</v>
      </c>
      <c r="C138" s="56" t="s">
        <v>33</v>
      </c>
      <c r="D138" s="57">
        <v>2.0</v>
      </c>
      <c r="E138" s="5">
        <f>if(SBO!E140=400,0,400)</f>
        <v>400</v>
      </c>
      <c r="F138" s="14"/>
      <c r="G138" s="14"/>
      <c r="H138" s="14"/>
      <c r="I138" s="14"/>
      <c r="J138" s="14"/>
      <c r="K138" s="14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56">
        <v>135.0</v>
      </c>
      <c r="B139" s="56" t="s">
        <v>161</v>
      </c>
      <c r="C139" s="56" t="s">
        <v>33</v>
      </c>
      <c r="D139" s="57">
        <v>2.0</v>
      </c>
      <c r="E139" s="5">
        <f>if(SBO!E141=400,0,400)</f>
        <v>400</v>
      </c>
      <c r="F139" s="14"/>
      <c r="G139" s="14"/>
      <c r="H139" s="14"/>
      <c r="I139" s="14"/>
      <c r="J139" s="14"/>
      <c r="K139" s="14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56">
        <v>136.0</v>
      </c>
      <c r="B140" s="56" t="s">
        <v>162</v>
      </c>
      <c r="C140" s="56" t="s">
        <v>33</v>
      </c>
      <c r="D140" s="57">
        <v>2.0</v>
      </c>
      <c r="E140" s="5">
        <f>if(SBO!E142=400,0,400)</f>
        <v>400</v>
      </c>
      <c r="F140" s="14"/>
      <c r="G140" s="14"/>
      <c r="H140" s="14"/>
      <c r="I140" s="14"/>
      <c r="J140" s="14"/>
      <c r="K140" s="14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56">
        <v>137.0</v>
      </c>
      <c r="B141" s="56" t="s">
        <v>163</v>
      </c>
      <c r="C141" s="56" t="s">
        <v>33</v>
      </c>
      <c r="D141" s="57">
        <v>2.0</v>
      </c>
      <c r="E141" s="5">
        <f>if(SBO!E143=400,0,400)</f>
        <v>400</v>
      </c>
      <c r="F141" s="14"/>
      <c r="G141" s="14"/>
      <c r="H141" s="14"/>
      <c r="I141" s="14"/>
      <c r="J141" s="14"/>
      <c r="K141" s="14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56">
        <v>138.0</v>
      </c>
      <c r="B142" s="56" t="s">
        <v>164</v>
      </c>
      <c r="C142" s="56" t="s">
        <v>33</v>
      </c>
      <c r="D142" s="57">
        <v>2.0</v>
      </c>
      <c r="E142" s="5">
        <f>if(SBO!E144=400,0,400)</f>
        <v>400</v>
      </c>
      <c r="F142" s="14"/>
      <c r="G142" s="14"/>
      <c r="H142" s="14"/>
      <c r="I142" s="14"/>
      <c r="J142" s="14"/>
      <c r="K142" s="14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56">
        <v>139.0</v>
      </c>
      <c r="B143" s="56" t="s">
        <v>165</v>
      </c>
      <c r="C143" s="56" t="s">
        <v>33</v>
      </c>
      <c r="D143" s="57">
        <v>2.0</v>
      </c>
      <c r="E143" s="5">
        <f>if(SBO!E145=400,0,400)</f>
        <v>400</v>
      </c>
      <c r="F143" s="14"/>
      <c r="G143" s="14"/>
      <c r="H143" s="14"/>
      <c r="I143" s="14"/>
      <c r="J143" s="14"/>
      <c r="K143" s="14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56">
        <v>140.0</v>
      </c>
      <c r="B144" s="56" t="s">
        <v>166</v>
      </c>
      <c r="C144" s="56" t="s">
        <v>33</v>
      </c>
      <c r="D144" s="57">
        <v>2.0</v>
      </c>
      <c r="E144" s="5">
        <f>if(SBO!E146=400,0,400)</f>
        <v>400</v>
      </c>
      <c r="F144" s="14"/>
      <c r="G144" s="14"/>
      <c r="H144" s="14"/>
      <c r="I144" s="14"/>
      <c r="J144" s="14"/>
      <c r="K144" s="14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56">
        <v>141.0</v>
      </c>
      <c r="B145" s="56" t="s">
        <v>167</v>
      </c>
      <c r="C145" s="56" t="s">
        <v>33</v>
      </c>
      <c r="D145" s="57">
        <v>2.0</v>
      </c>
      <c r="E145" s="5">
        <f>if(SBO!E147=400,0,400)</f>
        <v>400</v>
      </c>
      <c r="F145" s="14"/>
      <c r="G145" s="14"/>
      <c r="H145" s="14"/>
      <c r="I145" s="14"/>
      <c r="J145" s="14"/>
      <c r="K145" s="14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56">
        <v>142.0</v>
      </c>
      <c r="B146" s="56" t="s">
        <v>168</v>
      </c>
      <c r="C146" s="56" t="s">
        <v>33</v>
      </c>
      <c r="D146" s="57">
        <v>2.0</v>
      </c>
      <c r="E146" s="5">
        <f>if(SBO!E148=400,0,400)</f>
        <v>400</v>
      </c>
      <c r="F146" s="14"/>
      <c r="G146" s="14"/>
      <c r="H146" s="14"/>
      <c r="I146" s="14"/>
      <c r="J146" s="14"/>
      <c r="K146" s="14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56">
        <v>143.0</v>
      </c>
      <c r="B147" s="56" t="s">
        <v>169</v>
      </c>
      <c r="C147" s="56" t="s">
        <v>33</v>
      </c>
      <c r="D147" s="57">
        <v>2.0</v>
      </c>
      <c r="E147" s="5">
        <f>if(SBO!E149=400,0,400)</f>
        <v>400</v>
      </c>
      <c r="F147" s="14"/>
      <c r="G147" s="14"/>
      <c r="H147" s="14"/>
      <c r="I147" s="14"/>
      <c r="J147" s="14"/>
      <c r="K147" s="14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56">
        <v>144.0</v>
      </c>
      <c r="B148" s="56" t="s">
        <v>170</v>
      </c>
      <c r="C148" s="56" t="s">
        <v>33</v>
      </c>
      <c r="D148" s="57">
        <v>2.0</v>
      </c>
      <c r="E148" s="5">
        <f>if(SBO!E150=400,0,400)</f>
        <v>400</v>
      </c>
      <c r="F148" s="14"/>
      <c r="G148" s="14"/>
      <c r="H148" s="14"/>
      <c r="I148" s="14"/>
      <c r="J148" s="14"/>
      <c r="K148" s="14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56">
        <v>145.0</v>
      </c>
      <c r="B149" s="56" t="s">
        <v>171</v>
      </c>
      <c r="C149" s="56" t="s">
        <v>33</v>
      </c>
      <c r="D149" s="57">
        <v>2.0</v>
      </c>
      <c r="E149" s="5">
        <f>if(SBO!E151=400,0,400)</f>
        <v>400</v>
      </c>
      <c r="F149" s="14"/>
      <c r="G149" s="14"/>
      <c r="H149" s="14"/>
      <c r="I149" s="14"/>
      <c r="J149" s="14"/>
      <c r="K149" s="14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56">
        <v>146.0</v>
      </c>
      <c r="B150" s="56" t="s">
        <v>172</v>
      </c>
      <c r="C150" s="56" t="s">
        <v>33</v>
      </c>
      <c r="D150" s="57">
        <v>2.0</v>
      </c>
      <c r="E150" s="5">
        <f>if(SBO!E152=400,0,400)</f>
        <v>400</v>
      </c>
      <c r="F150" s="14"/>
      <c r="G150" s="14"/>
      <c r="H150" s="14"/>
      <c r="I150" s="14"/>
      <c r="J150" s="14"/>
      <c r="K150" s="14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56">
        <v>147.0</v>
      </c>
      <c r="B151" s="56" t="s">
        <v>173</v>
      </c>
      <c r="C151" s="56" t="s">
        <v>33</v>
      </c>
      <c r="D151" s="57">
        <v>2.0</v>
      </c>
      <c r="E151" s="5">
        <f>if(SBO!E153=400,0,400)</f>
        <v>400</v>
      </c>
      <c r="F151" s="14"/>
      <c r="G151" s="14"/>
      <c r="H151" s="14"/>
      <c r="I151" s="14"/>
      <c r="J151" s="14"/>
      <c r="K151" s="14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56">
        <v>148.0</v>
      </c>
      <c r="B152" s="56" t="s">
        <v>174</v>
      </c>
      <c r="C152" s="56" t="s">
        <v>33</v>
      </c>
      <c r="D152" s="57">
        <v>2.0</v>
      </c>
      <c r="E152" s="5">
        <f>if(SBO!E154=400,0,400)</f>
        <v>400</v>
      </c>
      <c r="F152" s="14"/>
      <c r="G152" s="14"/>
      <c r="H152" s="14"/>
      <c r="I152" s="14"/>
      <c r="J152" s="14"/>
      <c r="K152" s="14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56">
        <v>149.0</v>
      </c>
      <c r="B153" s="56" t="s">
        <v>175</v>
      </c>
      <c r="C153" s="56" t="s">
        <v>33</v>
      </c>
      <c r="D153" s="57">
        <v>2.0</v>
      </c>
      <c r="E153" s="5">
        <f>if(SBO!E155=400,0,400)</f>
        <v>400</v>
      </c>
      <c r="F153" s="14"/>
      <c r="G153" s="14"/>
      <c r="H153" s="14"/>
      <c r="I153" s="14"/>
      <c r="J153" s="14"/>
      <c r="K153" s="14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56">
        <v>150.0</v>
      </c>
      <c r="B154" s="56" t="s">
        <v>176</v>
      </c>
      <c r="C154" s="56" t="s">
        <v>33</v>
      </c>
      <c r="D154" s="57">
        <v>2.0</v>
      </c>
      <c r="E154" s="5">
        <f>if(SBO!E156=400,0,400)</f>
        <v>400</v>
      </c>
      <c r="F154" s="14"/>
      <c r="G154" s="14"/>
      <c r="H154" s="14"/>
      <c r="I154" s="14"/>
      <c r="J154" s="14"/>
      <c r="K154" s="14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56">
        <v>151.0</v>
      </c>
      <c r="B155" s="56" t="s">
        <v>177</v>
      </c>
      <c r="C155" s="56" t="s">
        <v>33</v>
      </c>
      <c r="D155" s="57">
        <v>2.0</v>
      </c>
      <c r="E155" s="5">
        <f>if(SBO!E157=400,0,400)</f>
        <v>400</v>
      </c>
      <c r="F155" s="14"/>
      <c r="G155" s="14"/>
      <c r="H155" s="14"/>
      <c r="I155" s="14"/>
      <c r="J155" s="14"/>
      <c r="K155" s="14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56">
        <v>152.0</v>
      </c>
      <c r="B156" s="56" t="s">
        <v>178</v>
      </c>
      <c r="C156" s="56" t="s">
        <v>33</v>
      </c>
      <c r="D156" s="57">
        <v>2.0</v>
      </c>
      <c r="E156" s="5">
        <f>if(SBO!E158=400,0,400)</f>
        <v>400</v>
      </c>
      <c r="F156" s="14"/>
      <c r="G156" s="14"/>
      <c r="H156" s="14"/>
      <c r="I156" s="14"/>
      <c r="J156" s="14"/>
      <c r="K156" s="14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56">
        <v>153.0</v>
      </c>
      <c r="B157" s="56" t="s">
        <v>179</v>
      </c>
      <c r="C157" s="56" t="s">
        <v>33</v>
      </c>
      <c r="D157" s="57">
        <v>2.0</v>
      </c>
      <c r="E157" s="5">
        <f>if(SBO!E159=400,0,400)</f>
        <v>400</v>
      </c>
      <c r="F157" s="14"/>
      <c r="G157" s="14"/>
      <c r="H157" s="14"/>
      <c r="I157" s="14"/>
      <c r="J157" s="14"/>
      <c r="K157" s="14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56">
        <v>154.0</v>
      </c>
      <c r="B158" s="56" t="s">
        <v>180</v>
      </c>
      <c r="C158" s="56" t="s">
        <v>33</v>
      </c>
      <c r="D158" s="57">
        <v>2.0</v>
      </c>
      <c r="E158" s="5">
        <f>if(SBO!E160=400,0,400)</f>
        <v>400</v>
      </c>
      <c r="F158" s="14"/>
      <c r="G158" s="14"/>
      <c r="H158" s="14"/>
      <c r="I158" s="14"/>
      <c r="J158" s="14"/>
      <c r="K158" s="14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56">
        <v>155.0</v>
      </c>
      <c r="B159" s="56" t="s">
        <v>181</v>
      </c>
      <c r="C159" s="56" t="s">
        <v>33</v>
      </c>
      <c r="D159" s="57">
        <v>2.0</v>
      </c>
      <c r="E159" s="5">
        <f>if(SBO!E161=400,0,400)</f>
        <v>400</v>
      </c>
      <c r="F159" s="14"/>
      <c r="G159" s="14"/>
      <c r="H159" s="14"/>
      <c r="I159" s="14"/>
      <c r="J159" s="14"/>
      <c r="K159" s="14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56">
        <v>156.0</v>
      </c>
      <c r="B160" s="56" t="s">
        <v>182</v>
      </c>
      <c r="C160" s="56" t="s">
        <v>33</v>
      </c>
      <c r="D160" s="57">
        <v>2.0</v>
      </c>
      <c r="E160" s="5">
        <f>if(SBO!E162=400,0,400)</f>
        <v>400</v>
      </c>
      <c r="F160" s="14"/>
      <c r="G160" s="14"/>
      <c r="H160" s="14"/>
      <c r="I160" s="14"/>
      <c r="J160" s="14"/>
      <c r="K160" s="14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56">
        <v>157.0</v>
      </c>
      <c r="B161" s="56" t="s">
        <v>183</v>
      </c>
      <c r="C161" s="56" t="s">
        <v>33</v>
      </c>
      <c r="D161" s="57">
        <v>2.0</v>
      </c>
      <c r="E161" s="5">
        <f>if(SBO!E163=400,0,400)</f>
        <v>400</v>
      </c>
      <c r="F161" s="14"/>
      <c r="G161" s="14"/>
      <c r="H161" s="14"/>
      <c r="I161" s="14"/>
      <c r="J161" s="14"/>
      <c r="K161" s="14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56">
        <v>158.0</v>
      </c>
      <c r="B162" s="56" t="s">
        <v>184</v>
      </c>
      <c r="C162" s="56" t="s">
        <v>33</v>
      </c>
      <c r="D162" s="57">
        <v>2.0</v>
      </c>
      <c r="E162" s="5">
        <f>if(SBO!E164=400,0,400)</f>
        <v>400</v>
      </c>
      <c r="F162" s="14"/>
      <c r="G162" s="14"/>
      <c r="H162" s="14"/>
      <c r="I162" s="14"/>
      <c r="J162" s="14"/>
      <c r="K162" s="14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56">
        <v>159.0</v>
      </c>
      <c r="B163" s="56" t="s">
        <v>185</v>
      </c>
      <c r="C163" s="56" t="s">
        <v>33</v>
      </c>
      <c r="D163" s="57">
        <v>2.0</v>
      </c>
      <c r="E163" s="5">
        <f>if(SBO!E165=400,0,400)</f>
        <v>400</v>
      </c>
      <c r="F163" s="14"/>
      <c r="G163" s="14"/>
      <c r="H163" s="14"/>
      <c r="I163" s="14"/>
      <c r="J163" s="14"/>
      <c r="K163" s="14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56">
        <v>160.0</v>
      </c>
      <c r="B164" s="56" t="s">
        <v>186</v>
      </c>
      <c r="C164" s="56" t="s">
        <v>33</v>
      </c>
      <c r="D164" s="57">
        <v>2.0</v>
      </c>
      <c r="E164" s="5">
        <f>if(SBO!E166=400,0,400)</f>
        <v>400</v>
      </c>
      <c r="F164" s="14"/>
      <c r="G164" s="14"/>
      <c r="H164" s="14"/>
      <c r="I164" s="14"/>
      <c r="J164" s="14"/>
      <c r="K164" s="14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56">
        <v>161.0</v>
      </c>
      <c r="B165" s="56" t="s">
        <v>187</v>
      </c>
      <c r="C165" s="56" t="s">
        <v>33</v>
      </c>
      <c r="D165" s="57">
        <v>2.0</v>
      </c>
      <c r="E165" s="5">
        <f>if(SBO!E167=400,0,400)</f>
        <v>400</v>
      </c>
      <c r="F165" s="14"/>
      <c r="G165" s="14"/>
      <c r="H165" s="14"/>
      <c r="I165" s="14"/>
      <c r="J165" s="14"/>
      <c r="K165" s="14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56">
        <v>162.0</v>
      </c>
      <c r="B166" s="56" t="s">
        <v>188</v>
      </c>
      <c r="C166" s="56" t="s">
        <v>33</v>
      </c>
      <c r="D166" s="57">
        <v>2.0</v>
      </c>
      <c r="E166" s="5">
        <f>if(SBO!E168=400,0,400)</f>
        <v>400</v>
      </c>
      <c r="F166" s="14"/>
      <c r="G166" s="14"/>
      <c r="H166" s="14"/>
      <c r="I166" s="14"/>
      <c r="J166" s="14"/>
      <c r="K166" s="14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56">
        <v>163.0</v>
      </c>
      <c r="B167" s="56" t="s">
        <v>189</v>
      </c>
      <c r="C167" s="56" t="s">
        <v>33</v>
      </c>
      <c r="D167" s="57">
        <v>2.0</v>
      </c>
      <c r="E167" s="5">
        <f>if(SBO!E169=400,0,400)</f>
        <v>400</v>
      </c>
      <c r="F167" s="14"/>
      <c r="G167" s="14"/>
      <c r="H167" s="14"/>
      <c r="I167" s="14"/>
      <c r="J167" s="14"/>
      <c r="K167" s="14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56">
        <v>164.0</v>
      </c>
      <c r="B168" s="56" t="s">
        <v>190</v>
      </c>
      <c r="C168" s="56" t="s">
        <v>33</v>
      </c>
      <c r="D168" s="57">
        <v>2.0</v>
      </c>
      <c r="E168" s="5">
        <f>if(SBO!E170=400,0,400)</f>
        <v>400</v>
      </c>
      <c r="F168" s="14"/>
      <c r="G168" s="14"/>
      <c r="H168" s="14"/>
      <c r="I168" s="14"/>
      <c r="J168" s="14"/>
      <c r="K168" s="14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56">
        <v>165.0</v>
      </c>
      <c r="B169" s="56" t="s">
        <v>191</v>
      </c>
      <c r="C169" s="56" t="s">
        <v>33</v>
      </c>
      <c r="D169" s="57">
        <v>2.0</v>
      </c>
      <c r="E169" s="5">
        <f>if(SBO!E171=400,0,400)</f>
        <v>400</v>
      </c>
      <c r="F169" s="14"/>
      <c r="G169" s="14"/>
      <c r="H169" s="14"/>
      <c r="I169" s="14"/>
      <c r="J169" s="14"/>
      <c r="K169" s="14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56">
        <v>166.0</v>
      </c>
      <c r="B170" s="56" t="s">
        <v>192</v>
      </c>
      <c r="C170" s="56" t="s">
        <v>33</v>
      </c>
      <c r="D170" s="57">
        <v>2.0</v>
      </c>
      <c r="E170" s="5">
        <f>if(SBO!E172=400,0,400)</f>
        <v>400</v>
      </c>
      <c r="F170" s="14"/>
      <c r="G170" s="14"/>
      <c r="H170" s="14"/>
      <c r="I170" s="14"/>
      <c r="J170" s="14"/>
      <c r="K170" s="14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56">
        <v>167.0</v>
      </c>
      <c r="B171" s="56" t="s">
        <v>193</v>
      </c>
      <c r="C171" s="56" t="s">
        <v>33</v>
      </c>
      <c r="D171" s="57">
        <v>2.0</v>
      </c>
      <c r="E171" s="5">
        <f>if(SBO!E173=400,0,400)</f>
        <v>400</v>
      </c>
      <c r="F171" s="14"/>
      <c r="G171" s="14"/>
      <c r="H171" s="14"/>
      <c r="I171" s="14"/>
      <c r="J171" s="14"/>
      <c r="K171" s="14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56">
        <v>168.0</v>
      </c>
      <c r="B172" s="56" t="s">
        <v>194</v>
      </c>
      <c r="C172" s="56" t="s">
        <v>33</v>
      </c>
      <c r="D172" s="57">
        <v>2.0</v>
      </c>
      <c r="E172" s="5">
        <f>if(SBO!E174=400,0,400)</f>
        <v>400</v>
      </c>
      <c r="F172" s="14"/>
      <c r="G172" s="14"/>
      <c r="H172" s="14"/>
      <c r="I172" s="14"/>
      <c r="J172" s="14"/>
      <c r="K172" s="14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56">
        <v>169.0</v>
      </c>
      <c r="B173" s="56" t="s">
        <v>195</v>
      </c>
      <c r="C173" s="56" t="s">
        <v>33</v>
      </c>
      <c r="D173" s="57">
        <v>2.0</v>
      </c>
      <c r="E173" s="5">
        <f>if(SBO!E175=400,0,400)</f>
        <v>400</v>
      </c>
      <c r="F173" s="14"/>
      <c r="G173" s="14"/>
      <c r="H173" s="14"/>
      <c r="I173" s="14"/>
      <c r="J173" s="14"/>
      <c r="K173" s="14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56">
        <v>170.0</v>
      </c>
      <c r="B174" s="56" t="s">
        <v>196</v>
      </c>
      <c r="C174" s="56" t="s">
        <v>33</v>
      </c>
      <c r="D174" s="57">
        <v>2.0</v>
      </c>
      <c r="E174" s="5">
        <f>if(SBO!E176=400,0,400)</f>
        <v>400</v>
      </c>
      <c r="F174" s="14"/>
      <c r="G174" s="14"/>
      <c r="H174" s="14"/>
      <c r="I174" s="14"/>
      <c r="J174" s="14"/>
      <c r="K174" s="14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56">
        <v>171.0</v>
      </c>
      <c r="B175" s="56" t="s">
        <v>197</v>
      </c>
      <c r="C175" s="56" t="s">
        <v>33</v>
      </c>
      <c r="D175" s="57">
        <v>2.0</v>
      </c>
      <c r="E175" s="5">
        <f>if(SBO!E177=400,0,400)</f>
        <v>400</v>
      </c>
      <c r="F175" s="14"/>
      <c r="G175" s="14"/>
      <c r="H175" s="14"/>
      <c r="I175" s="14"/>
      <c r="J175" s="14"/>
      <c r="K175" s="14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56">
        <v>172.0</v>
      </c>
      <c r="B176" s="56" t="s">
        <v>198</v>
      </c>
      <c r="C176" s="56" t="s">
        <v>33</v>
      </c>
      <c r="D176" s="57">
        <v>2.0</v>
      </c>
      <c r="E176" s="5">
        <f>if(SBO!E178=400,0,400)</f>
        <v>400</v>
      </c>
      <c r="F176" s="14"/>
      <c r="G176" s="14"/>
      <c r="H176" s="14"/>
      <c r="I176" s="14"/>
      <c r="J176" s="14"/>
      <c r="K176" s="14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56">
        <v>173.0</v>
      </c>
      <c r="B177" s="56" t="s">
        <v>199</v>
      </c>
      <c r="C177" s="56" t="s">
        <v>33</v>
      </c>
      <c r="D177" s="57">
        <v>2.0</v>
      </c>
      <c r="E177" s="5">
        <f>if(SBO!E179=400,0,400)</f>
        <v>400</v>
      </c>
      <c r="F177" s="14"/>
      <c r="G177" s="14"/>
      <c r="H177" s="14"/>
      <c r="I177" s="14"/>
      <c r="J177" s="14"/>
      <c r="K177" s="14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56">
        <v>174.0</v>
      </c>
      <c r="B178" s="56" t="s">
        <v>200</v>
      </c>
      <c r="C178" s="56" t="s">
        <v>33</v>
      </c>
      <c r="D178" s="57">
        <v>2.0</v>
      </c>
      <c r="E178" s="5">
        <f>if(SBO!E180=400,0,400)</f>
        <v>400</v>
      </c>
      <c r="F178" s="14"/>
      <c r="G178" s="14"/>
      <c r="H178" s="14"/>
      <c r="I178" s="14"/>
      <c r="J178" s="14"/>
      <c r="K178" s="14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56">
        <v>175.0</v>
      </c>
      <c r="B179" s="56" t="s">
        <v>201</v>
      </c>
      <c r="C179" s="56" t="s">
        <v>33</v>
      </c>
      <c r="D179" s="57">
        <v>2.0</v>
      </c>
      <c r="E179" s="5">
        <f>if(SBO!E181=400,0,400)</f>
        <v>400</v>
      </c>
      <c r="F179" s="14"/>
      <c r="G179" s="14"/>
      <c r="H179" s="14"/>
      <c r="I179" s="14"/>
      <c r="J179" s="14"/>
      <c r="K179" s="14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56">
        <v>176.0</v>
      </c>
      <c r="B180" s="56" t="s">
        <v>202</v>
      </c>
      <c r="C180" s="56" t="s">
        <v>33</v>
      </c>
      <c r="D180" s="57">
        <v>2.0</v>
      </c>
      <c r="E180" s="5">
        <f>if(SBO!E182=400,0,400)</f>
        <v>400</v>
      </c>
      <c r="F180" s="14"/>
      <c r="G180" s="14"/>
      <c r="H180" s="14"/>
      <c r="I180" s="14"/>
      <c r="J180" s="14"/>
      <c r="K180" s="14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56">
        <v>177.0</v>
      </c>
      <c r="B181" s="56" t="s">
        <v>203</v>
      </c>
      <c r="C181" s="56" t="s">
        <v>33</v>
      </c>
      <c r="D181" s="57">
        <v>2.0</v>
      </c>
      <c r="E181" s="5">
        <f>if(SBO!E183=400,0,400)</f>
        <v>400</v>
      </c>
      <c r="F181" s="14"/>
      <c r="G181" s="14"/>
      <c r="H181" s="14"/>
      <c r="I181" s="14"/>
      <c r="J181" s="14"/>
      <c r="K181" s="14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56">
        <v>178.0</v>
      </c>
      <c r="B182" s="56" t="s">
        <v>204</v>
      </c>
      <c r="C182" s="56" t="s">
        <v>33</v>
      </c>
      <c r="D182" s="57">
        <v>2.0</v>
      </c>
      <c r="E182" s="5">
        <f>if(SBO!E184=400,0,400)</f>
        <v>400</v>
      </c>
      <c r="F182" s="14"/>
      <c r="G182" s="14"/>
      <c r="H182" s="14"/>
      <c r="I182" s="14"/>
      <c r="J182" s="14"/>
      <c r="K182" s="14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56">
        <v>179.0</v>
      </c>
      <c r="B183" s="56" t="s">
        <v>205</v>
      </c>
      <c r="C183" s="56" t="s">
        <v>33</v>
      </c>
      <c r="D183" s="57">
        <v>2.0</v>
      </c>
      <c r="E183" s="5">
        <f>if(SBO!E185=400,0,400)</f>
        <v>400</v>
      </c>
      <c r="F183" s="14"/>
      <c r="G183" s="14"/>
      <c r="H183" s="14"/>
      <c r="I183" s="14"/>
      <c r="J183" s="14"/>
      <c r="K183" s="14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56">
        <v>180.0</v>
      </c>
      <c r="B184" s="56" t="s">
        <v>206</v>
      </c>
      <c r="C184" s="56" t="s">
        <v>33</v>
      </c>
      <c r="D184" s="57">
        <v>2.0</v>
      </c>
      <c r="E184" s="5">
        <f>if(SBO!E186=400,0,400)</f>
        <v>400</v>
      </c>
      <c r="F184" s="14"/>
      <c r="G184" s="14"/>
      <c r="H184" s="14"/>
      <c r="I184" s="14"/>
      <c r="J184" s="14"/>
      <c r="K184" s="14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56">
        <v>181.0</v>
      </c>
      <c r="B185" s="56" t="s">
        <v>207</v>
      </c>
      <c r="C185" s="56" t="s">
        <v>33</v>
      </c>
      <c r="D185" s="57">
        <v>2.0</v>
      </c>
      <c r="E185" s="5">
        <f>if(SBO!E187=400,0,400)</f>
        <v>400</v>
      </c>
      <c r="F185" s="14"/>
      <c r="G185" s="14"/>
      <c r="H185" s="14"/>
      <c r="I185" s="14"/>
      <c r="J185" s="14"/>
      <c r="K185" s="14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56">
        <v>182.0</v>
      </c>
      <c r="B186" s="56" t="s">
        <v>208</v>
      </c>
      <c r="C186" s="56" t="s">
        <v>33</v>
      </c>
      <c r="D186" s="57">
        <v>2.0</v>
      </c>
      <c r="E186" s="5">
        <f>if(SBO!E188=400,0,400)</f>
        <v>400</v>
      </c>
      <c r="F186" s="14"/>
      <c r="G186" s="14"/>
      <c r="H186" s="14"/>
      <c r="I186" s="14"/>
      <c r="J186" s="14"/>
      <c r="K186" s="14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56">
        <v>183.0</v>
      </c>
      <c r="B187" s="56" t="s">
        <v>209</v>
      </c>
      <c r="C187" s="56" t="s">
        <v>33</v>
      </c>
      <c r="D187" s="57">
        <v>2.0</v>
      </c>
      <c r="E187" s="5">
        <f>if(SBO!E189=400,0,400)</f>
        <v>400</v>
      </c>
      <c r="F187" s="14"/>
      <c r="G187" s="14"/>
      <c r="H187" s="14"/>
      <c r="I187" s="14"/>
      <c r="J187" s="14"/>
      <c r="K187" s="14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56">
        <v>184.0</v>
      </c>
      <c r="B188" s="56" t="s">
        <v>210</v>
      </c>
      <c r="C188" s="56" t="s">
        <v>33</v>
      </c>
      <c r="D188" s="57">
        <v>2.0</v>
      </c>
      <c r="E188" s="5">
        <f>if(SBO!E190=400,0,400)</f>
        <v>400</v>
      </c>
      <c r="F188" s="14"/>
      <c r="G188" s="14"/>
      <c r="H188" s="14"/>
      <c r="I188" s="14"/>
      <c r="J188" s="14"/>
      <c r="K188" s="14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56">
        <v>185.0</v>
      </c>
      <c r="B189" s="56" t="s">
        <v>211</v>
      </c>
      <c r="C189" s="56" t="s">
        <v>33</v>
      </c>
      <c r="D189" s="57">
        <v>2.0</v>
      </c>
      <c r="E189" s="5">
        <f>if(SBO!E191=400,0,400)</f>
        <v>400</v>
      </c>
      <c r="F189" s="14"/>
      <c r="G189" s="14"/>
      <c r="H189" s="14"/>
      <c r="I189" s="14"/>
      <c r="J189" s="14"/>
      <c r="K189" s="14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56">
        <v>186.0</v>
      </c>
      <c r="B190" s="56" t="s">
        <v>212</v>
      </c>
      <c r="C190" s="56" t="s">
        <v>33</v>
      </c>
      <c r="D190" s="57">
        <v>2.0</v>
      </c>
      <c r="E190" s="5">
        <f>if(SBO!E192=400,0,400)</f>
        <v>400</v>
      </c>
      <c r="F190" s="14"/>
      <c r="G190" s="14"/>
      <c r="H190" s="14"/>
      <c r="I190" s="14"/>
      <c r="J190" s="14"/>
      <c r="K190" s="14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56">
        <v>187.0</v>
      </c>
      <c r="B191" s="56" t="s">
        <v>213</v>
      </c>
      <c r="C191" s="56" t="s">
        <v>33</v>
      </c>
      <c r="D191" s="57">
        <v>2.0</v>
      </c>
      <c r="E191" s="5">
        <f>if(SBO!E193=400,0,400)</f>
        <v>400</v>
      </c>
      <c r="F191" s="14"/>
      <c r="G191" s="14"/>
      <c r="H191" s="14"/>
      <c r="I191" s="14"/>
      <c r="J191" s="14"/>
      <c r="K191" s="14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56">
        <v>188.0</v>
      </c>
      <c r="B192" s="56" t="s">
        <v>214</v>
      </c>
      <c r="C192" s="56" t="s">
        <v>33</v>
      </c>
      <c r="D192" s="57">
        <v>2.0</v>
      </c>
      <c r="E192" s="5">
        <f>if(SBO!E194=400,0,400)</f>
        <v>400</v>
      </c>
      <c r="F192" s="14"/>
      <c r="G192" s="14"/>
      <c r="H192" s="14"/>
      <c r="I192" s="14"/>
      <c r="J192" s="14"/>
      <c r="K192" s="14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56">
        <v>189.0</v>
      </c>
      <c r="B193" s="56" t="s">
        <v>215</v>
      </c>
      <c r="C193" s="56" t="s">
        <v>33</v>
      </c>
      <c r="D193" s="57">
        <v>2.0</v>
      </c>
      <c r="E193" s="5">
        <f>if(SBO!E195=400,0,400)</f>
        <v>400</v>
      </c>
      <c r="F193" s="14"/>
      <c r="G193" s="14"/>
      <c r="H193" s="14"/>
      <c r="I193" s="14"/>
      <c r="J193" s="14"/>
      <c r="K193" s="14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56">
        <v>190.0</v>
      </c>
      <c r="B194" s="56" t="s">
        <v>216</v>
      </c>
      <c r="C194" s="56" t="s">
        <v>33</v>
      </c>
      <c r="D194" s="57">
        <v>2.0</v>
      </c>
      <c r="E194" s="5">
        <f>if(SBO!E196=400,0,400)</f>
        <v>400</v>
      </c>
      <c r="F194" s="14"/>
      <c r="G194" s="14"/>
      <c r="H194" s="14"/>
      <c r="I194" s="14"/>
      <c r="J194" s="14"/>
      <c r="K194" s="14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56">
        <v>191.0</v>
      </c>
      <c r="B195" s="56" t="s">
        <v>217</v>
      </c>
      <c r="C195" s="56" t="s">
        <v>33</v>
      </c>
      <c r="D195" s="57">
        <v>2.0</v>
      </c>
      <c r="E195" s="5">
        <f>if(SBO!E197=400,0,400)</f>
        <v>400</v>
      </c>
      <c r="F195" s="14"/>
      <c r="G195" s="14"/>
      <c r="H195" s="14"/>
      <c r="I195" s="14"/>
      <c r="J195" s="14"/>
      <c r="K195" s="14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56">
        <v>192.0</v>
      </c>
      <c r="B196" s="56" t="s">
        <v>218</v>
      </c>
      <c r="C196" s="56" t="s">
        <v>33</v>
      </c>
      <c r="D196" s="57">
        <v>2.0</v>
      </c>
      <c r="E196" s="5">
        <f>if(SBO!E198=400,0,400)</f>
        <v>400</v>
      </c>
      <c r="F196" s="14"/>
      <c r="G196" s="14"/>
      <c r="H196" s="14"/>
      <c r="I196" s="14"/>
      <c r="J196" s="14"/>
      <c r="K196" s="14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56">
        <v>193.0</v>
      </c>
      <c r="B197" s="56" t="s">
        <v>219</v>
      </c>
      <c r="C197" s="56" t="s">
        <v>33</v>
      </c>
      <c r="D197" s="57">
        <v>2.0</v>
      </c>
      <c r="E197" s="5">
        <f>if(SBO!E199=400,0,400)</f>
        <v>400</v>
      </c>
      <c r="F197" s="14"/>
      <c r="G197" s="14"/>
      <c r="H197" s="14"/>
      <c r="I197" s="14"/>
      <c r="J197" s="14"/>
      <c r="K197" s="14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56">
        <v>194.0</v>
      </c>
      <c r="B198" s="56" t="s">
        <v>220</v>
      </c>
      <c r="C198" s="56" t="s">
        <v>33</v>
      </c>
      <c r="D198" s="57">
        <v>2.0</v>
      </c>
      <c r="E198" s="5">
        <f>if(SBO!E200=400,0,400)</f>
        <v>400</v>
      </c>
      <c r="F198" s="14"/>
      <c r="G198" s="14"/>
      <c r="H198" s="14"/>
      <c r="I198" s="14"/>
      <c r="J198" s="14"/>
      <c r="K198" s="14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56">
        <v>195.0</v>
      </c>
      <c r="B199" s="56" t="s">
        <v>221</v>
      </c>
      <c r="C199" s="56" t="s">
        <v>33</v>
      </c>
      <c r="D199" s="57">
        <v>2.0</v>
      </c>
      <c r="E199" s="5">
        <f>if(SBO!E201=400,0,400)</f>
        <v>400</v>
      </c>
      <c r="F199" s="14"/>
      <c r="G199" s="14"/>
      <c r="H199" s="14"/>
      <c r="I199" s="14"/>
      <c r="J199" s="14"/>
      <c r="K199" s="14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56">
        <v>196.0</v>
      </c>
      <c r="B200" s="56" t="s">
        <v>222</v>
      </c>
      <c r="C200" s="56" t="s">
        <v>33</v>
      </c>
      <c r="D200" s="57">
        <v>2.0</v>
      </c>
      <c r="E200" s="5">
        <f>if(SBO!E202=400,0,400)</f>
        <v>400</v>
      </c>
      <c r="F200" s="14"/>
      <c r="G200" s="14"/>
      <c r="H200" s="14"/>
      <c r="I200" s="14"/>
      <c r="J200" s="14"/>
      <c r="K200" s="14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56">
        <v>197.0</v>
      </c>
      <c r="B201" s="56" t="s">
        <v>223</v>
      </c>
      <c r="C201" s="56" t="s">
        <v>33</v>
      </c>
      <c r="D201" s="57">
        <v>2.0</v>
      </c>
      <c r="E201" s="5">
        <f>if(SBO!E203=400,0,400)</f>
        <v>400</v>
      </c>
      <c r="F201" s="14"/>
      <c r="G201" s="14"/>
      <c r="H201" s="14"/>
      <c r="I201" s="14"/>
      <c r="J201" s="14"/>
      <c r="K201" s="14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56">
        <v>198.0</v>
      </c>
      <c r="B202" s="56" t="s">
        <v>224</v>
      </c>
      <c r="C202" s="56" t="s">
        <v>33</v>
      </c>
      <c r="D202" s="57">
        <v>2.0</v>
      </c>
      <c r="E202" s="5">
        <f>if(SBO!E204=400,0,400)</f>
        <v>400</v>
      </c>
      <c r="F202" s="14"/>
      <c r="G202" s="14"/>
      <c r="H202" s="14"/>
      <c r="I202" s="14"/>
      <c r="J202" s="14"/>
      <c r="K202" s="14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56">
        <v>199.0</v>
      </c>
      <c r="B203" s="56" t="s">
        <v>225</v>
      </c>
      <c r="C203" s="56" t="s">
        <v>33</v>
      </c>
      <c r="D203" s="57">
        <v>2.0</v>
      </c>
      <c r="E203" s="5">
        <f>if(SBO!E205=400,0,400)</f>
        <v>400</v>
      </c>
      <c r="F203" s="14"/>
      <c r="G203" s="14"/>
      <c r="H203" s="14"/>
      <c r="I203" s="14"/>
      <c r="J203" s="14"/>
      <c r="K203" s="14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56">
        <v>200.0</v>
      </c>
      <c r="B204" s="56" t="s">
        <v>226</v>
      </c>
      <c r="C204" s="56" t="s">
        <v>33</v>
      </c>
      <c r="D204" s="57">
        <v>2.0</v>
      </c>
      <c r="E204" s="5">
        <f>if(SBO!E206=400,0,400)</f>
        <v>400</v>
      </c>
      <c r="F204" s="14"/>
      <c r="G204" s="14"/>
      <c r="H204" s="14"/>
      <c r="I204" s="14"/>
      <c r="J204" s="14"/>
      <c r="K204" s="14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56">
        <v>201.0</v>
      </c>
      <c r="B205" s="56" t="s">
        <v>227</v>
      </c>
      <c r="C205" s="56" t="s">
        <v>33</v>
      </c>
      <c r="D205" s="57">
        <v>2.0</v>
      </c>
      <c r="E205" s="5">
        <f>if(SBO!E207=400,0,400)</f>
        <v>400</v>
      </c>
      <c r="F205" s="14"/>
      <c r="G205" s="14"/>
      <c r="H205" s="14"/>
      <c r="I205" s="14"/>
      <c r="J205" s="14"/>
      <c r="K205" s="14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56">
        <v>202.0</v>
      </c>
      <c r="B206" s="56" t="s">
        <v>228</v>
      </c>
      <c r="C206" s="56" t="s">
        <v>33</v>
      </c>
      <c r="D206" s="57">
        <v>2.0</v>
      </c>
      <c r="E206" s="5">
        <f>if(SBO!E208=400,0,400)</f>
        <v>400</v>
      </c>
      <c r="F206" s="14"/>
      <c r="G206" s="14"/>
      <c r="H206" s="14"/>
      <c r="I206" s="14"/>
      <c r="J206" s="14"/>
      <c r="K206" s="14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56">
        <v>203.0</v>
      </c>
      <c r="B207" s="56" t="s">
        <v>229</v>
      </c>
      <c r="C207" s="56" t="s">
        <v>24</v>
      </c>
      <c r="D207" s="57">
        <v>3.0</v>
      </c>
      <c r="E207" s="5">
        <f>if(SBO!E209=400,0,400)</f>
        <v>400</v>
      </c>
      <c r="F207" s="14"/>
      <c r="G207" s="14"/>
      <c r="H207" s="14"/>
      <c r="I207" s="14"/>
      <c r="J207" s="14"/>
      <c r="K207" s="14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56">
        <v>204.0</v>
      </c>
      <c r="B208" s="56" t="s">
        <v>230</v>
      </c>
      <c r="C208" s="56" t="s">
        <v>31</v>
      </c>
      <c r="D208" s="57">
        <v>3.0</v>
      </c>
      <c r="E208" s="5">
        <f>if(SBO!E210=400,0,400)</f>
        <v>400</v>
      </c>
      <c r="F208" s="14"/>
      <c r="G208" s="14"/>
      <c r="H208" s="14"/>
      <c r="I208" s="14"/>
      <c r="J208" s="14"/>
      <c r="K208" s="14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56">
        <v>205.0</v>
      </c>
      <c r="B209" s="56" t="s">
        <v>231</v>
      </c>
      <c r="C209" s="56" t="s">
        <v>33</v>
      </c>
      <c r="D209" s="57">
        <v>3.0</v>
      </c>
      <c r="E209" s="5">
        <f>if(SBO!E211=400,0,400)</f>
        <v>400</v>
      </c>
      <c r="F209" s="14"/>
      <c r="G209" s="14"/>
      <c r="H209" s="14"/>
      <c r="I209" s="14"/>
      <c r="J209" s="14"/>
      <c r="K209" s="14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56">
        <v>206.0</v>
      </c>
      <c r="B210" s="56" t="s">
        <v>232</v>
      </c>
      <c r="C210" s="56" t="s">
        <v>33</v>
      </c>
      <c r="D210" s="57">
        <v>3.0</v>
      </c>
      <c r="E210" s="5">
        <f>if(SBO!E212=400,0,400)</f>
        <v>400</v>
      </c>
      <c r="F210" s="14"/>
      <c r="G210" s="14"/>
      <c r="H210" s="14"/>
      <c r="I210" s="14"/>
      <c r="J210" s="14"/>
      <c r="K210" s="14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56">
        <v>207.0</v>
      </c>
      <c r="B211" s="56" t="s">
        <v>233</v>
      </c>
      <c r="C211" s="56" t="s">
        <v>33</v>
      </c>
      <c r="D211" s="57">
        <v>3.0</v>
      </c>
      <c r="E211" s="5">
        <f>if(SBO!E213=400,0,400)</f>
        <v>400</v>
      </c>
      <c r="F211" s="14"/>
      <c r="G211" s="14"/>
      <c r="H211" s="14"/>
      <c r="I211" s="14"/>
      <c r="J211" s="14"/>
      <c r="K211" s="14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56">
        <v>208.0</v>
      </c>
      <c r="B212" s="56" t="s">
        <v>234</v>
      </c>
      <c r="C212" s="56" t="s">
        <v>33</v>
      </c>
      <c r="D212" s="57">
        <v>3.0</v>
      </c>
      <c r="E212" s="5">
        <f>if(SBO!E214=400,0,400)</f>
        <v>400</v>
      </c>
      <c r="F212" s="14"/>
      <c r="G212" s="14"/>
      <c r="H212" s="14"/>
      <c r="I212" s="14"/>
      <c r="J212" s="14"/>
      <c r="K212" s="14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56">
        <v>209.0</v>
      </c>
      <c r="B213" s="56" t="s">
        <v>235</v>
      </c>
      <c r="C213" s="56" t="s">
        <v>33</v>
      </c>
      <c r="D213" s="57">
        <v>3.0</v>
      </c>
      <c r="E213" s="5">
        <f>if(SBO!E215=400,0,400)</f>
        <v>400</v>
      </c>
      <c r="F213" s="14"/>
      <c r="G213" s="14"/>
      <c r="H213" s="14"/>
      <c r="I213" s="14"/>
      <c r="J213" s="14"/>
      <c r="K213" s="14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56">
        <v>210.0</v>
      </c>
      <c r="B214" s="56" t="s">
        <v>236</v>
      </c>
      <c r="C214" s="56" t="s">
        <v>33</v>
      </c>
      <c r="D214" s="57">
        <v>3.0</v>
      </c>
      <c r="E214" s="5">
        <f>if(SBO!E216=400,0,400)</f>
        <v>400</v>
      </c>
      <c r="F214" s="14"/>
      <c r="G214" s="14"/>
      <c r="H214" s="14"/>
      <c r="I214" s="14"/>
      <c r="J214" s="14"/>
      <c r="K214" s="14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56">
        <v>211.0</v>
      </c>
      <c r="B215" s="56" t="s">
        <v>237</v>
      </c>
      <c r="C215" s="56" t="s">
        <v>33</v>
      </c>
      <c r="D215" s="57">
        <v>3.0</v>
      </c>
      <c r="E215" s="5">
        <f>if(SBO!E217=400,0,400)</f>
        <v>400</v>
      </c>
      <c r="F215" s="14"/>
      <c r="G215" s="14"/>
      <c r="H215" s="14"/>
      <c r="I215" s="14"/>
      <c r="J215" s="14"/>
      <c r="K215" s="14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56">
        <v>212.0</v>
      </c>
      <c r="B216" s="56" t="s">
        <v>238</v>
      </c>
      <c r="C216" s="56" t="s">
        <v>33</v>
      </c>
      <c r="D216" s="57">
        <v>3.0</v>
      </c>
      <c r="E216" s="5">
        <f>if(SBO!E218=400,0,400)</f>
        <v>400</v>
      </c>
      <c r="F216" s="14"/>
      <c r="G216" s="14"/>
      <c r="H216" s="14"/>
      <c r="I216" s="14"/>
      <c r="J216" s="14"/>
      <c r="K216" s="14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56">
        <v>213.0</v>
      </c>
      <c r="B217" s="56" t="s">
        <v>239</v>
      </c>
      <c r="C217" s="56" t="s">
        <v>33</v>
      </c>
      <c r="D217" s="57">
        <v>3.0</v>
      </c>
      <c r="E217" s="5">
        <f>if(SBO!E219=400,0,400)</f>
        <v>400</v>
      </c>
      <c r="F217" s="14"/>
      <c r="G217" s="14"/>
      <c r="H217" s="14"/>
      <c r="I217" s="14"/>
      <c r="J217" s="14"/>
      <c r="K217" s="14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56">
        <v>214.0</v>
      </c>
      <c r="B218" s="56" t="s">
        <v>240</v>
      </c>
      <c r="C218" s="56" t="s">
        <v>33</v>
      </c>
      <c r="D218" s="57">
        <v>3.0</v>
      </c>
      <c r="E218" s="5">
        <f>if(SBO!E220=400,0,400)</f>
        <v>400</v>
      </c>
      <c r="F218" s="14"/>
      <c r="G218" s="14"/>
      <c r="H218" s="14"/>
      <c r="I218" s="14"/>
      <c r="J218" s="14"/>
      <c r="K218" s="14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56">
        <v>215.0</v>
      </c>
      <c r="B219" s="56" t="s">
        <v>241</v>
      </c>
      <c r="C219" s="56" t="s">
        <v>33</v>
      </c>
      <c r="D219" s="57">
        <v>3.0</v>
      </c>
      <c r="E219" s="5">
        <f>if(SBO!E221=400,0,400)</f>
        <v>400</v>
      </c>
      <c r="F219" s="14"/>
      <c r="G219" s="14"/>
      <c r="H219" s="14"/>
      <c r="I219" s="14"/>
      <c r="J219" s="14"/>
      <c r="K219" s="14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56">
        <v>216.0</v>
      </c>
      <c r="B220" s="56" t="s">
        <v>242</v>
      </c>
      <c r="C220" s="56" t="s">
        <v>33</v>
      </c>
      <c r="D220" s="57">
        <v>3.0</v>
      </c>
      <c r="E220" s="5">
        <f>if(SBO!E222=400,0,400)</f>
        <v>400</v>
      </c>
      <c r="F220" s="14"/>
      <c r="G220" s="14"/>
      <c r="H220" s="14"/>
      <c r="I220" s="14"/>
      <c r="J220" s="14"/>
      <c r="K220" s="14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56">
        <v>217.0</v>
      </c>
      <c r="B221" s="56" t="s">
        <v>243</v>
      </c>
      <c r="C221" s="56" t="s">
        <v>33</v>
      </c>
      <c r="D221" s="57">
        <v>3.0</v>
      </c>
      <c r="E221" s="5">
        <f>if(SBO!E223=400,0,400)</f>
        <v>400</v>
      </c>
      <c r="F221" s="14"/>
      <c r="G221" s="14"/>
      <c r="H221" s="14"/>
      <c r="I221" s="14"/>
      <c r="J221" s="14"/>
      <c r="K221" s="14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56">
        <v>218.0</v>
      </c>
      <c r="B222" s="56" t="s">
        <v>244</v>
      </c>
      <c r="C222" s="56" t="s">
        <v>33</v>
      </c>
      <c r="D222" s="57">
        <v>3.0</v>
      </c>
      <c r="E222" s="5">
        <f>if(SBO!E224=400,0,400)</f>
        <v>400</v>
      </c>
      <c r="F222" s="14"/>
      <c r="G222" s="14"/>
      <c r="H222" s="14"/>
      <c r="I222" s="14"/>
      <c r="J222" s="14"/>
      <c r="K222" s="14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56">
        <v>219.0</v>
      </c>
      <c r="B223" s="56" t="s">
        <v>245</v>
      </c>
      <c r="C223" s="56" t="s">
        <v>33</v>
      </c>
      <c r="D223" s="57">
        <v>3.0</v>
      </c>
      <c r="E223" s="5">
        <f>if(SBO!E225=400,0,400)</f>
        <v>400</v>
      </c>
      <c r="F223" s="14"/>
      <c r="G223" s="14"/>
      <c r="H223" s="14"/>
      <c r="I223" s="14"/>
      <c r="J223" s="14"/>
      <c r="K223" s="14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56">
        <v>220.0</v>
      </c>
      <c r="B224" s="56" t="s">
        <v>246</v>
      </c>
      <c r="C224" s="56" t="s">
        <v>33</v>
      </c>
      <c r="D224" s="57">
        <v>3.0</v>
      </c>
      <c r="E224" s="5">
        <f>if(SBO!E226=400,0,400)</f>
        <v>400</v>
      </c>
      <c r="F224" s="14"/>
      <c r="G224" s="14"/>
      <c r="H224" s="14"/>
      <c r="I224" s="14"/>
      <c r="J224" s="14"/>
      <c r="K224" s="14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56">
        <v>221.0</v>
      </c>
      <c r="B225" s="56" t="s">
        <v>247</v>
      </c>
      <c r="C225" s="56" t="s">
        <v>33</v>
      </c>
      <c r="D225" s="57">
        <v>3.0</v>
      </c>
      <c r="E225" s="5">
        <f>if(SBO!E227=400,0,400)</f>
        <v>400</v>
      </c>
      <c r="F225" s="14"/>
      <c r="G225" s="14"/>
      <c r="H225" s="14"/>
      <c r="I225" s="14"/>
      <c r="J225" s="14"/>
      <c r="K225" s="14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56">
        <v>222.0</v>
      </c>
      <c r="B226" s="56" t="s">
        <v>248</v>
      </c>
      <c r="C226" s="56" t="s">
        <v>33</v>
      </c>
      <c r="D226" s="57">
        <v>3.0</v>
      </c>
      <c r="E226" s="5">
        <f>if(SBO!E228=400,0,400)</f>
        <v>400</v>
      </c>
      <c r="F226" s="14"/>
      <c r="G226" s="14"/>
      <c r="H226" s="14"/>
      <c r="I226" s="14"/>
      <c r="J226" s="14"/>
      <c r="K226" s="14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56">
        <v>223.0</v>
      </c>
      <c r="B227" s="56" t="s">
        <v>249</v>
      </c>
      <c r="C227" s="56" t="s">
        <v>33</v>
      </c>
      <c r="D227" s="57">
        <v>3.0</v>
      </c>
      <c r="E227" s="5">
        <f>if(SBO!E229=400,0,400)</f>
        <v>400</v>
      </c>
      <c r="F227" s="14"/>
      <c r="G227" s="14"/>
      <c r="H227" s="14"/>
      <c r="I227" s="14"/>
      <c r="J227" s="14"/>
      <c r="K227" s="14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56">
        <v>224.0</v>
      </c>
      <c r="B228" s="56" t="s">
        <v>250</v>
      </c>
      <c r="C228" s="56" t="s">
        <v>33</v>
      </c>
      <c r="D228" s="57">
        <v>3.0</v>
      </c>
      <c r="E228" s="5">
        <f>if(SBO!E230=400,0,400)</f>
        <v>400</v>
      </c>
      <c r="F228" s="14"/>
      <c r="G228" s="14"/>
      <c r="H228" s="14"/>
      <c r="I228" s="14"/>
      <c r="J228" s="14"/>
      <c r="K228" s="14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56">
        <v>225.0</v>
      </c>
      <c r="B229" s="56" t="s">
        <v>251</v>
      </c>
      <c r="C229" s="56" t="s">
        <v>33</v>
      </c>
      <c r="D229" s="57">
        <v>3.0</v>
      </c>
      <c r="E229" s="5">
        <f>if(SBO!E231=400,0,400)</f>
        <v>400</v>
      </c>
      <c r="F229" s="14"/>
      <c r="G229" s="14"/>
      <c r="H229" s="14"/>
      <c r="I229" s="14"/>
      <c r="J229" s="14"/>
      <c r="K229" s="14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56">
        <v>226.0</v>
      </c>
      <c r="B230" s="56" t="s">
        <v>252</v>
      </c>
      <c r="C230" s="56" t="s">
        <v>33</v>
      </c>
      <c r="D230" s="57">
        <v>3.0</v>
      </c>
      <c r="E230" s="5">
        <f>if(SBO!E232=400,0,400)</f>
        <v>400</v>
      </c>
      <c r="F230" s="14"/>
      <c r="G230" s="14"/>
      <c r="H230" s="14"/>
      <c r="I230" s="14"/>
      <c r="J230" s="14"/>
      <c r="K230" s="14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56">
        <v>227.0</v>
      </c>
      <c r="B231" s="56" t="s">
        <v>253</v>
      </c>
      <c r="C231" s="56" t="s">
        <v>33</v>
      </c>
      <c r="D231" s="57">
        <v>3.0</v>
      </c>
      <c r="E231" s="5">
        <f>if(SBO!E233=400,0,400)</f>
        <v>400</v>
      </c>
      <c r="F231" s="14"/>
      <c r="G231" s="14"/>
      <c r="H231" s="14"/>
      <c r="I231" s="14"/>
      <c r="J231" s="14"/>
      <c r="K231" s="14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56">
        <v>228.0</v>
      </c>
      <c r="B232" s="56" t="s">
        <v>254</v>
      </c>
      <c r="C232" s="56" t="s">
        <v>33</v>
      </c>
      <c r="D232" s="57">
        <v>3.0</v>
      </c>
      <c r="E232" s="5">
        <f>if(SBO!E234=400,0,400)</f>
        <v>400</v>
      </c>
      <c r="F232" s="14"/>
      <c r="G232" s="14"/>
      <c r="H232" s="14"/>
      <c r="I232" s="14"/>
      <c r="J232" s="14"/>
      <c r="K232" s="14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56">
        <v>229.0</v>
      </c>
      <c r="B233" s="56" t="s">
        <v>255</v>
      </c>
      <c r="C233" s="56" t="s">
        <v>33</v>
      </c>
      <c r="D233" s="57">
        <v>3.0</v>
      </c>
      <c r="E233" s="5">
        <f>if(SBO!E235=400,0,400)</f>
        <v>400</v>
      </c>
      <c r="F233" s="14"/>
      <c r="G233" s="14"/>
      <c r="H233" s="14"/>
      <c r="I233" s="14"/>
      <c r="J233" s="14"/>
      <c r="K233" s="14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56">
        <v>230.0</v>
      </c>
      <c r="B234" s="56" t="s">
        <v>256</v>
      </c>
      <c r="C234" s="56" t="s">
        <v>33</v>
      </c>
      <c r="D234" s="57">
        <v>3.0</v>
      </c>
      <c r="E234" s="5">
        <f>if(SBO!E236=400,0,400)</f>
        <v>400</v>
      </c>
      <c r="F234" s="14"/>
      <c r="G234" s="14"/>
      <c r="H234" s="14"/>
      <c r="I234" s="14"/>
      <c r="J234" s="14"/>
      <c r="K234" s="14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56">
        <v>231.0</v>
      </c>
      <c r="B235" s="56" t="s">
        <v>257</v>
      </c>
      <c r="C235" s="56" t="s">
        <v>33</v>
      </c>
      <c r="D235" s="57">
        <v>3.0</v>
      </c>
      <c r="E235" s="5">
        <f>if(SBO!E237=400,0,400)</f>
        <v>400</v>
      </c>
      <c r="F235" s="14"/>
      <c r="G235" s="14"/>
      <c r="H235" s="14"/>
      <c r="I235" s="14"/>
      <c r="J235" s="14"/>
      <c r="K235" s="14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56">
        <v>232.0</v>
      </c>
      <c r="B236" s="56" t="s">
        <v>258</v>
      </c>
      <c r="C236" s="56" t="s">
        <v>33</v>
      </c>
      <c r="D236" s="57">
        <v>3.0</v>
      </c>
      <c r="E236" s="5">
        <f>if(SBO!E238=400,0,400)</f>
        <v>400</v>
      </c>
      <c r="F236" s="14"/>
      <c r="G236" s="14"/>
      <c r="H236" s="14"/>
      <c r="I236" s="14"/>
      <c r="J236" s="14"/>
      <c r="K236" s="14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56">
        <v>233.0</v>
      </c>
      <c r="B237" s="56" t="s">
        <v>259</v>
      </c>
      <c r="C237" s="56" t="s">
        <v>33</v>
      </c>
      <c r="D237" s="57">
        <v>3.0</v>
      </c>
      <c r="E237" s="5">
        <f>if(SBO!E239=400,0,400)</f>
        <v>400</v>
      </c>
      <c r="F237" s="14"/>
      <c r="G237" s="14"/>
      <c r="H237" s="14"/>
      <c r="I237" s="14"/>
      <c r="J237" s="14"/>
      <c r="K237" s="14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56">
        <v>234.0</v>
      </c>
      <c r="B238" s="56" t="s">
        <v>260</v>
      </c>
      <c r="C238" s="56" t="s">
        <v>33</v>
      </c>
      <c r="D238" s="57">
        <v>3.0</v>
      </c>
      <c r="E238" s="5">
        <f>if(SBO!E240=400,0,400)</f>
        <v>400</v>
      </c>
      <c r="F238" s="14"/>
      <c r="G238" s="14"/>
      <c r="H238" s="14"/>
      <c r="I238" s="14"/>
      <c r="J238" s="14"/>
      <c r="K238" s="14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56">
        <v>235.0</v>
      </c>
      <c r="B239" s="56" t="s">
        <v>261</v>
      </c>
      <c r="C239" s="56" t="s">
        <v>33</v>
      </c>
      <c r="D239" s="57">
        <v>3.0</v>
      </c>
      <c r="E239" s="5">
        <f>if(SBO!E241=400,0,400)</f>
        <v>400</v>
      </c>
      <c r="F239" s="14"/>
      <c r="G239" s="14"/>
      <c r="H239" s="14"/>
      <c r="I239" s="14"/>
      <c r="J239" s="14"/>
      <c r="K239" s="14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56">
        <v>236.0</v>
      </c>
      <c r="B240" s="56" t="s">
        <v>262</v>
      </c>
      <c r="C240" s="56" t="s">
        <v>33</v>
      </c>
      <c r="D240" s="57">
        <v>3.0</v>
      </c>
      <c r="E240" s="5">
        <f>if(SBO!E242=400,0,400)</f>
        <v>400</v>
      </c>
      <c r="F240" s="14"/>
      <c r="G240" s="14"/>
      <c r="H240" s="14"/>
      <c r="I240" s="14"/>
      <c r="J240" s="14"/>
      <c r="K240" s="14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56">
        <v>237.0</v>
      </c>
      <c r="B241" s="56" t="s">
        <v>263</v>
      </c>
      <c r="C241" s="56" t="s">
        <v>33</v>
      </c>
      <c r="D241" s="57">
        <v>3.0</v>
      </c>
      <c r="E241" s="5">
        <f>if(SBO!E243=400,0,400)</f>
        <v>400</v>
      </c>
      <c r="F241" s="14"/>
      <c r="G241" s="14"/>
      <c r="H241" s="14"/>
      <c r="I241" s="14"/>
      <c r="J241" s="14"/>
      <c r="K241" s="14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56">
        <v>238.0</v>
      </c>
      <c r="B242" s="56" t="s">
        <v>264</v>
      </c>
      <c r="C242" s="56" t="s">
        <v>33</v>
      </c>
      <c r="D242" s="57">
        <v>3.0</v>
      </c>
      <c r="E242" s="5">
        <f>if(SBO!E244=400,0,400)</f>
        <v>400</v>
      </c>
      <c r="F242" s="14"/>
      <c r="G242" s="14"/>
      <c r="H242" s="14"/>
      <c r="I242" s="14"/>
      <c r="J242" s="14"/>
      <c r="K242" s="14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56">
        <v>239.0</v>
      </c>
      <c r="B243" s="56" t="s">
        <v>265</v>
      </c>
      <c r="C243" s="56" t="s">
        <v>33</v>
      </c>
      <c r="D243" s="57">
        <v>3.0</v>
      </c>
      <c r="E243" s="5">
        <f>if(SBO!E245=400,0,400)</f>
        <v>400</v>
      </c>
      <c r="F243" s="14"/>
      <c r="G243" s="14"/>
      <c r="H243" s="14"/>
      <c r="I243" s="14"/>
      <c r="J243" s="14"/>
      <c r="K243" s="14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56">
        <v>240.0</v>
      </c>
      <c r="B244" s="56" t="s">
        <v>266</v>
      </c>
      <c r="C244" s="56" t="s">
        <v>33</v>
      </c>
      <c r="D244" s="57">
        <v>3.0</v>
      </c>
      <c r="E244" s="5">
        <f>if(SBO!E246=400,0,400)</f>
        <v>400</v>
      </c>
      <c r="F244" s="14"/>
      <c r="G244" s="14"/>
      <c r="H244" s="14"/>
      <c r="I244" s="14"/>
      <c r="J244" s="14"/>
      <c r="K244" s="14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56">
        <v>241.0</v>
      </c>
      <c r="B245" s="56" t="s">
        <v>267</v>
      </c>
      <c r="C245" s="56" t="s">
        <v>33</v>
      </c>
      <c r="D245" s="57">
        <v>3.0</v>
      </c>
      <c r="E245" s="5">
        <f>if(SBO!E247=400,0,400)</f>
        <v>400</v>
      </c>
      <c r="F245" s="14"/>
      <c r="G245" s="14"/>
      <c r="H245" s="14"/>
      <c r="I245" s="14"/>
      <c r="J245" s="14"/>
      <c r="K245" s="14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56">
        <v>242.0</v>
      </c>
      <c r="B246" s="56" t="s">
        <v>268</v>
      </c>
      <c r="C246" s="56" t="s">
        <v>33</v>
      </c>
      <c r="D246" s="57">
        <v>3.0</v>
      </c>
      <c r="E246" s="5">
        <f>if(SBO!E248=400,0,400)</f>
        <v>400</v>
      </c>
      <c r="F246" s="14"/>
      <c r="G246" s="14"/>
      <c r="H246" s="14"/>
      <c r="I246" s="14"/>
      <c r="J246" s="14"/>
      <c r="K246" s="14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56">
        <v>243.0</v>
      </c>
      <c r="B247" s="56" t="s">
        <v>269</v>
      </c>
      <c r="C247" s="56" t="s">
        <v>33</v>
      </c>
      <c r="D247" s="57">
        <v>3.0</v>
      </c>
      <c r="E247" s="5">
        <f>if(SBO!E249=400,0,400)</f>
        <v>400</v>
      </c>
      <c r="F247" s="14"/>
      <c r="G247" s="14"/>
      <c r="H247" s="14"/>
      <c r="I247" s="14"/>
      <c r="J247" s="14"/>
      <c r="K247" s="14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56">
        <v>244.0</v>
      </c>
      <c r="B248" s="56" t="s">
        <v>270</v>
      </c>
      <c r="C248" s="56" t="s">
        <v>24</v>
      </c>
      <c r="D248" s="57">
        <v>4.0</v>
      </c>
      <c r="E248" s="5">
        <f>if(SBO!E250=400,0,400)</f>
        <v>400</v>
      </c>
      <c r="F248" s="14"/>
      <c r="G248" s="14"/>
      <c r="H248" s="14"/>
      <c r="I248" s="14"/>
      <c r="J248" s="14"/>
      <c r="K248" s="14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56">
        <v>245.0</v>
      </c>
      <c r="B249" s="56" t="s">
        <v>271</v>
      </c>
      <c r="C249" s="56" t="s">
        <v>24</v>
      </c>
      <c r="D249" s="57">
        <v>4.0</v>
      </c>
      <c r="E249" s="5">
        <f>if(SBO!E251=400,0,400)</f>
        <v>400</v>
      </c>
      <c r="F249" s="14"/>
      <c r="G249" s="14"/>
      <c r="H249" s="14"/>
      <c r="I249" s="14"/>
      <c r="J249" s="14"/>
      <c r="K249" s="14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56">
        <v>246.0</v>
      </c>
      <c r="B250" s="56" t="s">
        <v>272</v>
      </c>
      <c r="C250" s="56" t="s">
        <v>24</v>
      </c>
      <c r="D250" s="57">
        <v>4.0</v>
      </c>
      <c r="E250" s="5">
        <f>if(SBO!E252=400,0,400)</f>
        <v>400</v>
      </c>
      <c r="F250" s="14"/>
      <c r="G250" s="14"/>
      <c r="H250" s="14"/>
      <c r="I250" s="14"/>
      <c r="J250" s="14"/>
      <c r="K250" s="14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56">
        <v>247.0</v>
      </c>
      <c r="B251" s="56" t="s">
        <v>273</v>
      </c>
      <c r="C251" s="56" t="s">
        <v>24</v>
      </c>
      <c r="D251" s="57">
        <v>4.0</v>
      </c>
      <c r="E251" s="5">
        <f>if(SBO!E253=400,0,400)</f>
        <v>400</v>
      </c>
      <c r="F251" s="14"/>
      <c r="G251" s="14"/>
      <c r="H251" s="14"/>
      <c r="I251" s="14"/>
      <c r="J251" s="14"/>
      <c r="K251" s="14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56">
        <v>248.0</v>
      </c>
      <c r="B252" s="56" t="s">
        <v>274</v>
      </c>
      <c r="C252" s="56" t="s">
        <v>24</v>
      </c>
      <c r="D252" s="57">
        <v>4.0</v>
      </c>
      <c r="E252" s="5">
        <f>if(SBO!E254=400,0,400)</f>
        <v>400</v>
      </c>
      <c r="F252" s="14"/>
      <c r="G252" s="14"/>
      <c r="H252" s="14"/>
      <c r="I252" s="14"/>
      <c r="J252" s="14"/>
      <c r="K252" s="14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56">
        <v>249.0</v>
      </c>
      <c r="B253" s="56" t="s">
        <v>275</v>
      </c>
      <c r="C253" s="56" t="s">
        <v>24</v>
      </c>
      <c r="D253" s="57">
        <v>4.0</v>
      </c>
      <c r="E253" s="5">
        <f>if(SBO!E255=400,0,400)</f>
        <v>400</v>
      </c>
      <c r="F253" s="14"/>
      <c r="G253" s="14"/>
      <c r="H253" s="14"/>
      <c r="I253" s="14"/>
      <c r="J253" s="14"/>
      <c r="K253" s="14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56">
        <v>250.0</v>
      </c>
      <c r="B254" s="56" t="s">
        <v>276</v>
      </c>
      <c r="C254" s="56" t="s">
        <v>33</v>
      </c>
      <c r="D254" s="57">
        <v>4.0</v>
      </c>
      <c r="E254" s="5">
        <f>if(SBO!E256=400,0,400)</f>
        <v>400</v>
      </c>
      <c r="F254" s="14"/>
      <c r="G254" s="14"/>
      <c r="H254" s="14"/>
      <c r="I254" s="14"/>
      <c r="J254" s="14"/>
      <c r="K254" s="14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56">
        <v>251.0</v>
      </c>
      <c r="B255" s="56" t="s">
        <v>277</v>
      </c>
      <c r="C255" s="56" t="s">
        <v>33</v>
      </c>
      <c r="D255" s="57">
        <v>4.0</v>
      </c>
      <c r="E255" s="5">
        <f>if(SBO!E257=400,0,400)</f>
        <v>400</v>
      </c>
      <c r="F255" s="14"/>
      <c r="G255" s="14"/>
      <c r="H255" s="14"/>
      <c r="I255" s="14"/>
      <c r="J255" s="14"/>
      <c r="K255" s="14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56">
        <v>252.0</v>
      </c>
      <c r="B256" s="56" t="s">
        <v>278</v>
      </c>
      <c r="C256" s="56" t="s">
        <v>33</v>
      </c>
      <c r="D256" s="57">
        <v>4.0</v>
      </c>
      <c r="E256" s="5">
        <f>if(SBO!E258=400,0,400)</f>
        <v>400</v>
      </c>
      <c r="F256" s="14"/>
      <c r="G256" s="14"/>
      <c r="H256" s="14"/>
      <c r="I256" s="14"/>
      <c r="J256" s="14"/>
      <c r="K256" s="14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56">
        <v>253.0</v>
      </c>
      <c r="B257" s="56" t="s">
        <v>279</v>
      </c>
      <c r="C257" s="56" t="s">
        <v>33</v>
      </c>
      <c r="D257" s="57">
        <v>4.0</v>
      </c>
      <c r="E257" s="5">
        <f>if(SBO!E259=400,0,400)</f>
        <v>400</v>
      </c>
      <c r="F257" s="14"/>
      <c r="G257" s="14"/>
      <c r="H257" s="14"/>
      <c r="I257" s="14"/>
      <c r="J257" s="14"/>
      <c r="K257" s="14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56">
        <v>254.0</v>
      </c>
      <c r="B258" s="56" t="s">
        <v>280</v>
      </c>
      <c r="C258" s="56" t="s">
        <v>33</v>
      </c>
      <c r="D258" s="57">
        <v>4.0</v>
      </c>
      <c r="E258" s="5">
        <f>if(SBO!E260=400,0,400)</f>
        <v>400</v>
      </c>
      <c r="F258" s="14"/>
      <c r="G258" s="14"/>
      <c r="H258" s="14"/>
      <c r="I258" s="14"/>
      <c r="J258" s="14"/>
      <c r="K258" s="14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56">
        <v>255.0</v>
      </c>
      <c r="B259" s="56" t="s">
        <v>281</v>
      </c>
      <c r="C259" s="56" t="s">
        <v>33</v>
      </c>
      <c r="D259" s="57">
        <v>4.0</v>
      </c>
      <c r="E259" s="5">
        <f>if(SBO!E261=400,0,400)</f>
        <v>400</v>
      </c>
      <c r="F259" s="14"/>
      <c r="G259" s="14"/>
      <c r="H259" s="14"/>
      <c r="I259" s="14"/>
      <c r="J259" s="14"/>
      <c r="K259" s="14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56">
        <v>256.0</v>
      </c>
      <c r="B260" s="56" t="s">
        <v>282</v>
      </c>
      <c r="C260" s="56" t="s">
        <v>33</v>
      </c>
      <c r="D260" s="57">
        <v>4.0</v>
      </c>
      <c r="E260" s="5">
        <f>if(SBO!E262=400,0,400)</f>
        <v>400</v>
      </c>
      <c r="F260" s="14"/>
      <c r="G260" s="14"/>
      <c r="H260" s="14"/>
      <c r="I260" s="14"/>
      <c r="J260" s="14"/>
      <c r="K260" s="14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56">
        <v>257.0</v>
      </c>
      <c r="B261" s="56" t="s">
        <v>283</v>
      </c>
      <c r="C261" s="56" t="s">
        <v>33</v>
      </c>
      <c r="D261" s="57">
        <v>4.0</v>
      </c>
      <c r="E261" s="5">
        <f>if(SBO!E263=400,0,400)</f>
        <v>400</v>
      </c>
      <c r="F261" s="14"/>
      <c r="G261" s="14"/>
      <c r="H261" s="14"/>
      <c r="I261" s="14"/>
      <c r="J261" s="14"/>
      <c r="K261" s="14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56">
        <v>258.0</v>
      </c>
      <c r="B262" s="56" t="s">
        <v>284</v>
      </c>
      <c r="C262" s="56" t="s">
        <v>33</v>
      </c>
      <c r="D262" s="57">
        <v>4.0</v>
      </c>
      <c r="E262" s="5">
        <f>if(SBO!E264=400,0,400)</f>
        <v>400</v>
      </c>
      <c r="F262" s="14"/>
      <c r="G262" s="14"/>
      <c r="H262" s="14"/>
      <c r="I262" s="14"/>
      <c r="J262" s="14"/>
      <c r="K262" s="14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56">
        <v>259.0</v>
      </c>
      <c r="B263" s="56" t="s">
        <v>285</v>
      </c>
      <c r="C263" s="56" t="s">
        <v>33</v>
      </c>
      <c r="D263" s="57">
        <v>4.0</v>
      </c>
      <c r="E263" s="5">
        <f>if(SBO!E265=400,0,400)</f>
        <v>400</v>
      </c>
      <c r="F263" s="14"/>
      <c r="G263" s="14"/>
      <c r="H263" s="14"/>
      <c r="I263" s="14"/>
      <c r="J263" s="14"/>
      <c r="K263" s="14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56">
        <v>260.0</v>
      </c>
      <c r="B264" s="56" t="s">
        <v>286</v>
      </c>
      <c r="C264" s="56" t="s">
        <v>33</v>
      </c>
      <c r="D264" s="57">
        <v>4.0</v>
      </c>
      <c r="E264" s="5">
        <f>if(SBO!E266=400,0,400)</f>
        <v>400</v>
      </c>
      <c r="F264" s="14"/>
      <c r="G264" s="14"/>
      <c r="H264" s="14"/>
      <c r="I264" s="14"/>
      <c r="J264" s="14"/>
      <c r="K264" s="14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56">
        <v>261.0</v>
      </c>
      <c r="B265" s="56" t="s">
        <v>287</v>
      </c>
      <c r="C265" s="56" t="s">
        <v>33</v>
      </c>
      <c r="D265" s="57">
        <v>4.0</v>
      </c>
      <c r="E265" s="5">
        <f>if(SBO!E267=400,0,400)</f>
        <v>400</v>
      </c>
      <c r="F265" s="14"/>
      <c r="G265" s="14"/>
      <c r="H265" s="14"/>
      <c r="I265" s="14"/>
      <c r="J265" s="14"/>
      <c r="K265" s="14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56">
        <v>262.0</v>
      </c>
      <c r="B266" s="56" t="s">
        <v>288</v>
      </c>
      <c r="C266" s="56" t="s">
        <v>33</v>
      </c>
      <c r="D266" s="57">
        <v>4.0</v>
      </c>
      <c r="E266" s="5">
        <f>if(SBO!E268=400,0,400)</f>
        <v>400</v>
      </c>
      <c r="F266" s="14"/>
      <c r="G266" s="14"/>
      <c r="H266" s="14"/>
      <c r="I266" s="14"/>
      <c r="J266" s="14"/>
      <c r="K266" s="14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56">
        <v>263.0</v>
      </c>
      <c r="B267" s="56" t="s">
        <v>289</v>
      </c>
      <c r="C267" s="56" t="s">
        <v>33</v>
      </c>
      <c r="D267" s="57">
        <v>4.0</v>
      </c>
      <c r="E267" s="5">
        <f>if(SBO!E269=400,0,400)</f>
        <v>400</v>
      </c>
      <c r="F267" s="14"/>
      <c r="G267" s="14"/>
      <c r="H267" s="14"/>
      <c r="I267" s="14"/>
      <c r="J267" s="14"/>
      <c r="K267" s="14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56">
        <v>264.0</v>
      </c>
      <c r="B268" s="56" t="s">
        <v>290</v>
      </c>
      <c r="C268" s="56" t="s">
        <v>33</v>
      </c>
      <c r="D268" s="57">
        <v>4.0</v>
      </c>
      <c r="E268" s="5">
        <f>if(SBO!E270=400,0,400)</f>
        <v>400</v>
      </c>
      <c r="F268" s="14"/>
      <c r="G268" s="14"/>
      <c r="H268" s="14"/>
      <c r="I268" s="14"/>
      <c r="J268" s="14"/>
      <c r="K268" s="14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56">
        <v>265.0</v>
      </c>
      <c r="B269" s="56" t="s">
        <v>291</v>
      </c>
      <c r="C269" s="56" t="s">
        <v>33</v>
      </c>
      <c r="D269" s="57">
        <v>4.0</v>
      </c>
      <c r="E269" s="5">
        <f>if(SBO!E271=400,0,400)</f>
        <v>400</v>
      </c>
      <c r="F269" s="14"/>
      <c r="G269" s="14"/>
      <c r="H269" s="14"/>
      <c r="I269" s="14"/>
      <c r="J269" s="14"/>
      <c r="K269" s="14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56">
        <v>266.0</v>
      </c>
      <c r="B270" s="56" t="s">
        <v>292</v>
      </c>
      <c r="C270" s="56" t="s">
        <v>33</v>
      </c>
      <c r="D270" s="57">
        <v>4.0</v>
      </c>
      <c r="E270" s="5">
        <f>if(SBO!E272=400,0,400)</f>
        <v>400</v>
      </c>
      <c r="F270" s="14"/>
      <c r="G270" s="14"/>
      <c r="H270" s="14"/>
      <c r="I270" s="14"/>
      <c r="J270" s="14"/>
      <c r="K270" s="14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56">
        <v>267.0</v>
      </c>
      <c r="B271" s="56" t="s">
        <v>293</v>
      </c>
      <c r="C271" s="56" t="s">
        <v>33</v>
      </c>
      <c r="D271" s="57">
        <v>4.0</v>
      </c>
      <c r="E271" s="5">
        <f>if(SBO!E273=400,0,400)</f>
        <v>400</v>
      </c>
      <c r="F271" s="14"/>
      <c r="G271" s="14"/>
      <c r="H271" s="14"/>
      <c r="I271" s="14"/>
      <c r="J271" s="14"/>
      <c r="K271" s="14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56">
        <v>268.0</v>
      </c>
      <c r="B272" s="56" t="s">
        <v>294</v>
      </c>
      <c r="C272" s="56" t="s">
        <v>33</v>
      </c>
      <c r="D272" s="57">
        <v>4.0</v>
      </c>
      <c r="E272" s="5">
        <f>if(SBO!E274=400,0,400)</f>
        <v>400</v>
      </c>
      <c r="F272" s="14"/>
      <c r="G272" s="14"/>
      <c r="H272" s="14"/>
      <c r="I272" s="14"/>
      <c r="J272" s="14"/>
      <c r="K272" s="14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56">
        <v>269.0</v>
      </c>
      <c r="B273" s="56" t="s">
        <v>295</v>
      </c>
      <c r="C273" s="56" t="s">
        <v>33</v>
      </c>
      <c r="D273" s="57">
        <v>4.0</v>
      </c>
      <c r="E273" s="5">
        <f>if(SBO!E275=400,0,400)</f>
        <v>400</v>
      </c>
      <c r="F273" s="14"/>
      <c r="G273" s="14"/>
      <c r="H273" s="14"/>
      <c r="I273" s="14"/>
      <c r="J273" s="14"/>
      <c r="K273" s="14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56">
        <v>270.0</v>
      </c>
      <c r="B274" s="56" t="s">
        <v>296</v>
      </c>
      <c r="C274" s="56" t="s">
        <v>33</v>
      </c>
      <c r="D274" s="57">
        <v>4.0</v>
      </c>
      <c r="E274" s="5">
        <f>if(SBO!E276=400,0,400)</f>
        <v>400</v>
      </c>
      <c r="F274" s="14"/>
      <c r="G274" s="14"/>
      <c r="H274" s="14"/>
      <c r="I274" s="14"/>
      <c r="J274" s="14"/>
      <c r="K274" s="14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56">
        <v>271.0</v>
      </c>
      <c r="B275" s="56" t="s">
        <v>297</v>
      </c>
      <c r="C275" s="56" t="s">
        <v>33</v>
      </c>
      <c r="D275" s="57">
        <v>4.0</v>
      </c>
      <c r="E275" s="5">
        <f>if(SBO!E277=400,0,400)</f>
        <v>400</v>
      </c>
      <c r="F275" s="14"/>
      <c r="G275" s="14"/>
      <c r="H275" s="14"/>
      <c r="I275" s="14"/>
      <c r="J275" s="14"/>
      <c r="K275" s="14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56">
        <v>272.0</v>
      </c>
      <c r="B276" s="56" t="s">
        <v>298</v>
      </c>
      <c r="C276" s="56" t="s">
        <v>33</v>
      </c>
      <c r="D276" s="57">
        <v>4.0</v>
      </c>
      <c r="E276" s="5">
        <f>if(SBO!E278=400,0,400)</f>
        <v>400</v>
      </c>
      <c r="F276" s="14"/>
      <c r="G276" s="14"/>
      <c r="H276" s="14"/>
      <c r="I276" s="14"/>
      <c r="J276" s="14"/>
      <c r="K276" s="14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56">
        <v>273.0</v>
      </c>
      <c r="B277" s="56" t="s">
        <v>299</v>
      </c>
      <c r="C277" s="56" t="s">
        <v>33</v>
      </c>
      <c r="D277" s="57">
        <v>4.0</v>
      </c>
      <c r="E277" s="5">
        <f>if(SBO!E279=400,0,400)</f>
        <v>400</v>
      </c>
      <c r="F277" s="14"/>
      <c r="G277" s="14"/>
      <c r="H277" s="14"/>
      <c r="I277" s="14"/>
      <c r="J277" s="14"/>
      <c r="K277" s="14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56">
        <v>274.0</v>
      </c>
      <c r="B278" s="56" t="s">
        <v>300</v>
      </c>
      <c r="C278" s="56" t="s">
        <v>33</v>
      </c>
      <c r="D278" s="57">
        <v>4.0</v>
      </c>
      <c r="E278" s="5">
        <f>if(SBO!E280=400,0,400)</f>
        <v>400</v>
      </c>
      <c r="F278" s="14"/>
      <c r="G278" s="14"/>
      <c r="H278" s="14"/>
      <c r="I278" s="14"/>
      <c r="J278" s="14"/>
      <c r="K278" s="14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56">
        <v>275.0</v>
      </c>
      <c r="B279" s="56" t="s">
        <v>301</v>
      </c>
      <c r="C279" s="56" t="s">
        <v>33</v>
      </c>
      <c r="D279" s="57">
        <v>4.0</v>
      </c>
      <c r="E279" s="5">
        <f>if(SBO!E281=400,0,400)</f>
        <v>400</v>
      </c>
      <c r="F279" s="14"/>
      <c r="G279" s="14"/>
      <c r="H279" s="14"/>
      <c r="I279" s="14"/>
      <c r="J279" s="14"/>
      <c r="K279" s="14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56">
        <v>276.0</v>
      </c>
      <c r="B280" s="56" t="s">
        <v>302</v>
      </c>
      <c r="C280" s="56" t="s">
        <v>33</v>
      </c>
      <c r="D280" s="57">
        <v>4.0</v>
      </c>
      <c r="E280" s="5">
        <f>if(SBO!E282=400,0,400)</f>
        <v>400</v>
      </c>
      <c r="F280" s="14"/>
      <c r="G280" s="14"/>
      <c r="H280" s="14"/>
      <c r="I280" s="14"/>
      <c r="J280" s="14"/>
      <c r="K280" s="14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56">
        <v>277.0</v>
      </c>
      <c r="B281" s="56" t="s">
        <v>303</v>
      </c>
      <c r="C281" s="56" t="s">
        <v>33</v>
      </c>
      <c r="D281" s="57">
        <v>4.0</v>
      </c>
      <c r="E281" s="5">
        <f>if(SBO!E283=400,0,400)</f>
        <v>400</v>
      </c>
      <c r="F281" s="14"/>
      <c r="G281" s="14"/>
      <c r="H281" s="14"/>
      <c r="I281" s="14"/>
      <c r="J281" s="14"/>
      <c r="K281" s="14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56">
        <v>278.0</v>
      </c>
      <c r="B282" s="56" t="s">
        <v>304</v>
      </c>
      <c r="C282" s="56" t="s">
        <v>33</v>
      </c>
      <c r="D282" s="57">
        <v>4.0</v>
      </c>
      <c r="E282" s="5">
        <f>if(SBO!E284=400,0,400)</f>
        <v>400</v>
      </c>
      <c r="F282" s="14"/>
      <c r="G282" s="14"/>
      <c r="H282" s="14"/>
      <c r="I282" s="14"/>
      <c r="J282" s="14"/>
      <c r="K282" s="14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56">
        <v>279.0</v>
      </c>
      <c r="B283" s="56" t="s">
        <v>305</v>
      </c>
      <c r="C283" s="56" t="s">
        <v>33</v>
      </c>
      <c r="D283" s="57">
        <v>4.0</v>
      </c>
      <c r="E283" s="5">
        <f>if(SBO!E285=400,0,400)</f>
        <v>400</v>
      </c>
      <c r="F283" s="14"/>
      <c r="G283" s="14"/>
      <c r="H283" s="14"/>
      <c r="I283" s="14"/>
      <c r="J283" s="14"/>
      <c r="K283" s="14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1"/>
      <c r="C284" s="59" t="s">
        <v>9</v>
      </c>
      <c r="E284" s="1">
        <f t="shared" ref="E284:I284" si="1">sum(E5:E283)</f>
        <v>108000</v>
      </c>
      <c r="F284" s="1">
        <f t="shared" si="1"/>
        <v>0</v>
      </c>
      <c r="G284" s="1">
        <f t="shared" si="1"/>
        <v>0</v>
      </c>
      <c r="H284" s="1">
        <f t="shared" si="1"/>
        <v>0</v>
      </c>
      <c r="I284" s="1">
        <f t="shared" si="1"/>
        <v>0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</sheetData>
  <mergeCells count="2">
    <mergeCell ref="A1:K2"/>
    <mergeCell ref="C284:D284"/>
  </mergeCells>
  <dataValidations>
    <dataValidation type="list" allowBlank="1" showErrorMessage="1" sqref="J5:J283">
      <formula1>"GCASH,CASH"</formula1>
    </dataValidation>
  </dataValidations>
  <drawing r:id="rId1"/>
</worksheet>
</file>